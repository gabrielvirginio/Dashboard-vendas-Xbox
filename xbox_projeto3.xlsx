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8_{5CF6018E-BF91-4602-8E61-54FB45075DB7}" xr6:coauthVersionLast="47" xr6:coauthVersionMax="47" xr10:uidLastSave="{00000000-0000-0000-0000-000000000000}"/>
  <bookViews>
    <workbookView xWindow="13550" yWindow="-110" windowWidth="19420" windowHeight="10420" tabRatio="467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5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<sst xmlns="http://schemas.openxmlformats.org/spreadsheetml/2006/main" count="2019" uniqueCount="321">
  <si>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</si>
  <si>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</si>
  <si>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</si>
  <si>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</si>
  <si>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</si>
  <si>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</si>
  <si>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</si>
  <si>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</si>
  <si>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</si>
  <si>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</si>
  <si>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</si>
  <si>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</si>
  <si>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</si>
  <si>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</si>
  <si>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</si>
  <si>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</si>
  <si>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</si>
  <si>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</si>
  <si>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</si>
  <si>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</si>
  <si>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</si>
  <si>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</si>
  <si>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</si>
  <si>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</si>
  <si>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</si>
  <si>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</si>
  <si>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</si>
  <si>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</si>
  <si>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</si>
  <si>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</si>
  <si>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</si>
  <si>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</si>
  <si>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</si>
  <si>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</si>
  <si>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</si>
  <si>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</si>
  <si>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</si>
  <si>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</si>
  <si>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</si>
  <si>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</si>
  <si>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</si>
  <si>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</si>
  <si>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</si>
  <si>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</si>
  <si>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</si>
  <si>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</si>
  <si>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</si>
  <si>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</si>
  <si>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</si>
  <si>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</si>
  <si>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</si>
  <si>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</si>
  <si>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</si>
  <si>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</si>
  <si>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</si>
  <si>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</si>
  <si>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</si>
  <si>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</si>
  <si>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</si>
  <si>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</si>
  <si>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</si>
  <si>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</si>
  <si>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</si>
  <si>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</si>
  <si>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</si>
  <si>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</si>
  <si>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</si>
  <si>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</si>
  <si>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</si>
  <si>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</si>
  <si>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</si>
  <si>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</si>
  <si>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</si>
  <si>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</si>
  <si>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</si>
  <si>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</si>
  <si>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</si>
  <si>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</si>
  <si>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</si>
  <si>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</si>
  <si>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</si>
  <si>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</si>
  <si>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</si>
  <si>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</si>
  <si>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</si>
  <si>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</si>
  <si>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</si>
  <si>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</si>
  <si>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</si>
  <si>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</si>
  <si>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</si>
  <si>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</si>
  <si>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</si>
  <si>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</si>
  <si>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</si>
  <si>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</si>
  <si>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</si>
  <si>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</si>
  <si>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</si>
  <si>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</si>
  <si>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</si>
  <si>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</si>
  <si>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</si>
  <si>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</si>
  <si>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</si>
  <si>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</si>
  <si>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</si>
  <si>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</si>
  <si>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</si>
  <si>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</si>
  <si>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</si>
  <si>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</si>
  <si>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</si>
  <si>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</si>
  <si>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</si>
  <si>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</si>
  <si>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</si>
  <si>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</si>
  <si>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</si>
  <si>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</si>
  <si>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</si>
  <si>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</si>
  <si>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</si>
  <si>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</si>
  <si>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</si>
  <si>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</si>
  <si>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</si>
  <si>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</si>
  <si>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</si>
  <si>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</si>
  <si>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</si>
  <si>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</si>
  <si>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</si>
  <si>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</si>
  <si>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</si>
  <si>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</si>
  <si>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</si>
  <si>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</si>
  <si>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</si>
  <si>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</si>
  <si>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</si>
  <si>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</si>
  <si>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</si>
  <si>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</si>
  <si>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</si>
  <si>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</si>
  <si>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</si>
  <si>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</si>
  <si>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</si>
  <si>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</si>
  <si>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</si>
  <si>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</si>
  <si>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</si>
  <si>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</si>
  <si>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</si>
  <si>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</si>
  <si>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</si>
  <si>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</si>
  <si>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</si>
  <si>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</si>
  <si>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</si>
  <si>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</si>
  <si>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</si>
  <si>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</si>
  <si>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</si>
  <si>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</si>
  <si>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</si>
  <si>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</si>
  <si>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</si>
  <si>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</si>
  <si>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</si>
  <si>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</si>
  <si>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</si>
  <si>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</si>
  <si>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</si>
  <si>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</si>
  <si>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</si>
  <si>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</si>
  <si>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</si>
  <si>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</si>
  <si>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</si>
  <si>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</si>
  <si>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</si>
  <si>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</si>
  <si>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</si>
  <si>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</si>
  <si>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</si>
  <si>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</si>
  <si>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</si>
  <si>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</si>
  <si>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</si>
  <si>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</si>
  <si>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</si>
  <si>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</si>
  <si>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</si>
  <si>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</si>
  <si>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</si>
  <si>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</si>
  <si>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</si>
  <si>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</si>
  <si>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</si>
  <si>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</si>
  <si>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</si>
  <si>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</si>
  <si>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</si>
  <si>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</si>
  <si>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</si>
  <si>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</si>
  <si>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</si>
  <si>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</si>
  <si>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</si>
  <si>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</si>
  <si>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</si>
  <si>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</si>
  <si>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</si>
  <si>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</si>
  <si>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</si>
  <si>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</si>
  <si>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</si>
  <si>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</si>
  <si>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</si>
  <si>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</si>
  <si>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</si>
  <si>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</si>
  <si>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</si>
  <si>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</si>
  <si>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</si>
  <si>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</si>
  <si>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</si>
  <si>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</si>
  <si>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</si>
  <si>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</si>
  <si>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</si>
  <si>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</si>
  <si>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</si>
  <si>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</si>
  <si>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</si>
  <si>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</si>
  <si>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</si>
  <si>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</si>
  <si>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</si>
  <si>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</si>
  <si>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</si>
  <si>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</si>
  <si>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</si>
  <si>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</si>
  <si>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</si>
  <si>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</si>
  <si>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</si>
  <si>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</si>
  <si>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</si>
  <si>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</si>
  <si>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</si>
  <si>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</si>
  <si>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</si>
  <si>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</si>
  <si>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</si>
  <si>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</si>
  <si>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</si>
  <si>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</si>
  <si>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</si>
  <si>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</si>
  <si>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</si>
  <si>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</si>
  <si>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</si>
  <si>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</si>
  <si>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</si>
  <si>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</si>
  <si>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</si>
  <si>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</si>
  <si>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</si>
  <si>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</si>
  <si>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</si>
  <si>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</si>
  <si>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</si>
  <si>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</si>
  <si>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</si>
  <si>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</si>
  <si>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</si>
  <si>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</si>
  <si>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</si>
  <si>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</si>
  <si>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</si>
  <si>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</si>
  <si>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</si>
  <si>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</si>
  <si>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</si>
  <si>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</si>
  <si>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</si>
  <si>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</si>
  <si>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</si>
  <si>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</si>
  <si>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</si>
  <si>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</si>
  <si>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</si>
  <si>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</si>
  <si>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</si>
  <si>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</si>
  <si>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</si>
  <si>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</si>
  <si>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</si>
  <si>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</si>
  <si>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</si>
  <si>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</si>
  <si>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</si>
  <si>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</si>
  <si>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</si>
  <si>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</si>
  <si>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</si>
  <si>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</si>
  <si>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</si>
  <si>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</si>
  <si>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</si>
  <si>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</si>
  <si>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</si>
  <si>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</si>
  <si>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</si>
  <si>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Pergunta de Negócio 3 - Total de Vendas de Assinatura do EA Play</t>
  </si>
  <si>
    <t>Soma de EA Play Season Pass</t>
  </si>
  <si>
    <t>Contagem de Minecraft Season Pass</t>
  </si>
  <si>
    <t>Período de Apuração: 01/01/2024-31/12/2024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</si>
</sst>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8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9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5E40E99-EE9E-4607-988E-12D69AC39619}">
      <tableStyleElement type="wholeTable" dxfId="1"/>
      <tableStyleElement type="headerRow" dxfId="0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[xbox_projeto3.xlsx]C̳álculos!Tabela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2-4DDE-AE26-238440CD3F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3517952"/>
        <c:axId val="2051595648"/>
      </c:barChart>
      <c:catAx>
        <c:axId val="208351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595648"/>
        <c:crosses val="autoZero"/>
        <c:auto val="1"/>
        <c:lblAlgn val="ctr"/>
        <c:lblOffset val="100"/>
        <c:noMultiLvlLbl val="0"/>
      </c:catAx>
      <c:valAx>
        <c:axId val="20515956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83517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60450" y="5422899"/>
          <a:ext cx="1546301" cy="75565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93662</xdr:colOff>
      <xdr:row>0</xdr:row>
      <xdr:rowOff>168272</xdr:rowOff>
    </xdr:from>
    <xdr:to>
      <xdr:col>2</xdr:col>
      <xdr:colOff>435680</xdr:colOff>
      <xdr:row>2</xdr:row>
      <xdr:rowOff>119061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2107B8-CCDE-4B68-A743-73B3A4C09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1" t="21966" r="71947" b="23978"/>
        <a:stretch>
          <a:fillRect/>
        </a:stretch>
      </xdr:blipFill>
      <xdr:spPr>
        <a:xfrm>
          <a:off x="1935162" y="161922"/>
          <a:ext cx="580143" cy="512764"/>
        </a:xfrm>
        <a:prstGeom prst="rect">
          <a:avLst/>
        </a:prstGeom>
      </xdr:spPr>
    </xdr:pic>
    <xdr:clientData/>
  </xdr:twoCellAnchor>
  <xdr:twoCellAnchor editAs="absolute">
    <xdr:from>
      <xdr:col>0</xdr:col>
      <xdr:colOff>41274</xdr:colOff>
      <xdr:row>6</xdr:row>
      <xdr:rowOff>112709</xdr:rowOff>
    </xdr:from>
    <xdr:to>
      <xdr:col>0</xdr:col>
      <xdr:colOff>1752600</xdr:colOff>
      <xdr:row>19</xdr:row>
      <xdr:rowOff>53972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029D969-62FA-488B-9BD2-0B3E984FB5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74" y="1406522"/>
              <a:ext cx="1711326" cy="2417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36508</xdr:colOff>
      <xdr:row>5</xdr:row>
      <xdr:rowOff>17452</xdr:rowOff>
    </xdr:from>
    <xdr:to>
      <xdr:col>10</xdr:col>
      <xdr:colOff>303207</xdr:colOff>
      <xdr:row>13</xdr:row>
      <xdr:rowOff>112700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656182F-51AF-A030-31F7-357352D6ADF2}"/>
            </a:ext>
          </a:extLst>
        </xdr:cNvPr>
        <xdr:cNvGrpSpPr/>
      </xdr:nvGrpSpPr>
      <xdr:grpSpPr>
        <a:xfrm>
          <a:off x="2116133" y="1120765"/>
          <a:ext cx="5156199" cy="1619248"/>
          <a:chOff x="2416175" y="928689"/>
          <a:chExt cx="5159374" cy="161924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12B073A-D406-DB89-A996-9F379376CA81}"/>
              </a:ext>
            </a:extLst>
          </xdr:cNvPr>
          <xdr:cNvSpPr/>
        </xdr:nvSpPr>
        <xdr:spPr>
          <a:xfrm>
            <a:off x="2416176" y="930274"/>
            <a:ext cx="5157787" cy="161766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A0BE0C0-41CF-4C29-A449-B0BC453DACFE}"/>
              </a:ext>
            </a:extLst>
          </xdr:cNvPr>
          <xdr:cNvSpPr/>
        </xdr:nvSpPr>
        <xdr:spPr>
          <a:xfrm>
            <a:off x="3530601" y="1311273"/>
            <a:ext cx="2825749" cy="935039"/>
          </a:xfrm>
          <a:prstGeom prst="roundRect">
            <a:avLst>
              <a:gd name="adj" fmla="val 912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C26E00D-F727-4F30-BF41-031DE87AB15E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t>R$ 1.350,00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504871B-D04F-46BA-AA4B-64049C7C11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9213" y="1311273"/>
            <a:ext cx="1052513" cy="1049338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9D97BE60-E2CA-98FA-0A3E-3FF8C415C70F}"/>
              </a:ext>
            </a:extLst>
          </xdr:cNvPr>
          <xdr:cNvSpPr/>
        </xdr:nvSpPr>
        <xdr:spPr>
          <a:xfrm>
            <a:off x="2416175" y="928689"/>
            <a:ext cx="5159374" cy="404811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SUBSCRIBTIONS EA PLAY SEASON PASS</a:t>
            </a:r>
          </a:p>
        </xdr:txBody>
      </xdr:sp>
    </xdr:grpSp>
    <xdr:clientData/>
  </xdr:twoCellAnchor>
  <xdr:twoCellAnchor editAs="absolute">
    <xdr:from>
      <xdr:col>11</xdr:col>
      <xdr:colOff>434970</xdr:colOff>
      <xdr:row>5</xdr:row>
      <xdr:rowOff>17452</xdr:rowOff>
    </xdr:from>
    <xdr:to>
      <xdr:col>21</xdr:col>
      <xdr:colOff>3169</xdr:colOff>
      <xdr:row>13</xdr:row>
      <xdr:rowOff>112700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4927BE11-34CA-89E9-BA7D-91EE012D4769}"/>
            </a:ext>
          </a:extLst>
        </xdr:cNvPr>
        <xdr:cNvGrpSpPr/>
      </xdr:nvGrpSpPr>
      <xdr:grpSpPr>
        <a:xfrm>
          <a:off x="8015283" y="1120765"/>
          <a:ext cx="5156199" cy="1619248"/>
          <a:chOff x="8318500" y="969964"/>
          <a:chExt cx="5159374" cy="161924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7FCAEF5-8F88-469D-A6EF-48753DD227E9}"/>
              </a:ext>
            </a:extLst>
          </xdr:cNvPr>
          <xdr:cNvGrpSpPr/>
        </xdr:nvGrpSpPr>
        <xdr:grpSpPr>
          <a:xfrm>
            <a:off x="8318500" y="969964"/>
            <a:ext cx="5159374" cy="1619248"/>
            <a:chOff x="2416175" y="928689"/>
            <a:chExt cx="5159374" cy="1619248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3B1A96F-9F32-9913-AF78-17083C0A5ECC}"/>
                </a:ext>
              </a:extLst>
            </xdr:cNvPr>
            <xdr:cNvSpPr/>
          </xdr:nvSpPr>
          <xdr:spPr>
            <a:xfrm>
              <a:off x="2416176" y="930274"/>
              <a:ext cx="5157787" cy="161766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CB1A7F9-9325-3767-7E03-05E24207700A}"/>
                </a:ext>
              </a:extLst>
            </xdr:cNvPr>
            <xdr:cNvSpPr/>
          </xdr:nvSpPr>
          <xdr:spPr>
            <a:xfrm>
              <a:off x="3530601" y="1311273"/>
              <a:ext cx="2825749" cy="935039"/>
            </a:xfrm>
            <a:prstGeom prst="roundRect">
              <a:avLst>
                <a:gd name="adj" fmla="val 912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1DF1D2D-6856-4611-A0A9-B341959A667B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t>R$ 139,00</a:t>
              </a:fld>
              <a:endParaRPr lang="pt-BR" sz="36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F41FECB6-1F5C-FA16-18DC-E0C70396E2C8}"/>
                </a:ext>
              </a:extLst>
            </xdr:cNvPr>
            <xdr:cNvSpPr/>
          </xdr:nvSpPr>
          <xdr:spPr>
            <a:xfrm>
              <a:off x="2416175" y="928689"/>
              <a:ext cx="5159374" cy="40481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SUBSCRIBTIONS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EADAC0A1-1442-4543-BBE8-08B2F38B384E}"/>
              </a:ext>
            </a:extLst>
          </xdr:cNvPr>
          <xdr:cNvGrpSpPr/>
        </xdr:nvGrpSpPr>
        <xdr:grpSpPr>
          <a:xfrm>
            <a:off x="8782051" y="1617663"/>
            <a:ext cx="833437" cy="436562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9FA2E7B6-E345-04F8-EFD2-CEBC7FE513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761661B1-4C7D-C647-D309-81CE7C489B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55558</xdr:colOff>
      <xdr:row>14</xdr:row>
      <xdr:rowOff>93652</xdr:rowOff>
    </xdr:from>
    <xdr:to>
      <xdr:col>21</xdr:col>
      <xdr:colOff>22219</xdr:colOff>
      <xdr:row>30</xdr:row>
      <xdr:rowOff>147647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0E0302E-2E7F-72C6-87EC-80CEB7D69065}"/>
            </a:ext>
          </a:extLst>
        </xdr:cNvPr>
        <xdr:cNvGrpSpPr/>
      </xdr:nvGrpSpPr>
      <xdr:grpSpPr>
        <a:xfrm>
          <a:off x="2135183" y="2911465"/>
          <a:ext cx="11055349" cy="3101995"/>
          <a:chOff x="2438400" y="2724151"/>
          <a:chExt cx="11055349" cy="311787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6C140A2-B68A-921E-607D-73BB710C3B9C}"/>
              </a:ext>
            </a:extLst>
          </xdr:cNvPr>
          <xdr:cNvGrpSpPr/>
        </xdr:nvGrpSpPr>
        <xdr:grpSpPr>
          <a:xfrm>
            <a:off x="2438400" y="2757489"/>
            <a:ext cx="11053763" cy="3084532"/>
            <a:chOff x="2436813" y="607671"/>
            <a:chExt cx="5222875" cy="3065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7003DD6-F29B-148E-B09F-BCCB303190AE}"/>
                </a:ext>
              </a:extLst>
            </xdr:cNvPr>
            <xdr:cNvSpPr/>
          </xdr:nvSpPr>
          <xdr:spPr>
            <a:xfrm>
              <a:off x="2436813" y="607671"/>
              <a:ext cx="5222875" cy="3065750"/>
            </a:xfrm>
            <a:prstGeom prst="roundRect">
              <a:avLst>
                <a:gd name="adj" fmla="val 89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2BD7825-F996-43B0-97DD-66CF30F6C0B9}"/>
                </a:ext>
              </a:extLst>
            </xdr:cNvPr>
            <xdr:cNvGraphicFramePr>
              <a:graphicFrameLocks/>
            </xdr:cNvGraphicFramePr>
          </xdr:nvGraphicFramePr>
          <xdr:xfrm>
            <a:off x="2608264" y="1116011"/>
            <a:ext cx="4568825" cy="25146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CA2B87BD-898F-4076-A499-7AB448CFABEE}"/>
              </a:ext>
            </a:extLst>
          </xdr:cNvPr>
          <xdr:cNvSpPr/>
        </xdr:nvSpPr>
        <xdr:spPr>
          <a:xfrm>
            <a:off x="2439986" y="2724151"/>
            <a:ext cx="11053763" cy="41433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SUBSCRIBTIONS XBOX GAME PASS</a:t>
            </a:r>
          </a:p>
        </xdr:txBody>
      </xdr:sp>
    </xdr:grpSp>
    <xdr:clientData/>
  </xdr:twoCellAnchor>
  <xdr:twoCellAnchor editAs="absolute">
    <xdr:from>
      <xdr:col>0</xdr:col>
      <xdr:colOff>566739</xdr:colOff>
      <xdr:row>0</xdr:row>
      <xdr:rowOff>174626</xdr:rowOff>
    </xdr:from>
    <xdr:to>
      <xdr:col>0</xdr:col>
      <xdr:colOff>1271588</xdr:colOff>
      <xdr:row>3</xdr:row>
      <xdr:rowOff>149226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8D372F6-CA7D-4630-B8DA-0E08F942542F}"/>
            </a:ext>
          </a:extLst>
        </xdr:cNvPr>
        <xdr:cNvSpPr/>
      </xdr:nvSpPr>
      <xdr:spPr>
        <a:xfrm>
          <a:off x="557214" y="174626"/>
          <a:ext cx="704849" cy="69691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78581</xdr:colOff>
      <xdr:row>4</xdr:row>
      <xdr:rowOff>14288</xdr:rowOff>
    </xdr:from>
    <xdr:to>
      <xdr:col>0</xdr:col>
      <xdr:colOff>1730374</xdr:colOff>
      <xdr:row>5</xdr:row>
      <xdr:rowOff>39688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73807A71-C513-621F-D493-2889373B5CAE}"/>
            </a:ext>
          </a:extLst>
        </xdr:cNvPr>
        <xdr:cNvSpPr/>
      </xdr:nvSpPr>
      <xdr:spPr>
        <a:xfrm>
          <a:off x="78581" y="920751"/>
          <a:ext cx="1651793" cy="222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vindo, Gabriel!</a:t>
          </a:r>
          <a:endParaRPr lang="pt-BR" sz="1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Virginio" refreshedDate="46312.86531458333" createdVersion="8" refreshedVersion="8" minRefreshableVersion="3" recordCount="295" xr:uid="{9F362BB4-DCAB-4628-AF4F-E937CC2AA90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12177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x v="0"/>
    <n v="20"/>
    <n v="5"/>
    <n v="60"/>
  </r>
  <r>
    <n v="3232"/>
    <x v="1"/>
    <x v="1"/>
    <d v="2024-01-15T00:00:00"/>
    <x v="1"/>
    <n v="5"/>
    <x v="1"/>
    <s v="No"/>
    <x v="1"/>
    <x v="1"/>
    <n v="0"/>
    <n v="0"/>
    <n v="5"/>
  </r>
  <r>
    <n v="3233"/>
    <x v="2"/>
    <x v="2"/>
    <d v="2024-02-10T00:00:00"/>
    <x v="0"/>
    <n v="10"/>
    <x v="2"/>
    <s v="No"/>
    <x v="1"/>
    <x v="0"/>
    <n v="20"/>
    <n v="10"/>
    <n v="20"/>
  </r>
  <r>
    <n v="3234"/>
    <x v="3"/>
    <x v="0"/>
    <d v="2024-02-20T00:00:00"/>
    <x v="1"/>
    <n v="15"/>
    <x v="0"/>
    <s v="Yes"/>
    <x v="0"/>
    <x v="0"/>
    <n v="20"/>
    <n v="3"/>
    <n v="62"/>
  </r>
  <r>
    <n v="3235"/>
    <x v="4"/>
    <x v="1"/>
    <d v="2024-03-05T00:00:00"/>
    <x v="0"/>
    <n v="5"/>
    <x v="0"/>
    <s v="No"/>
    <x v="1"/>
    <x v="1"/>
    <n v="0"/>
    <n v="1"/>
    <n v="4"/>
  </r>
  <r>
    <n v="3236"/>
    <x v="5"/>
    <x v="2"/>
    <d v="2024-03-02T00:00:00"/>
    <x v="1"/>
    <n v="10"/>
    <x v="0"/>
    <s v="No"/>
    <x v="1"/>
    <x v="0"/>
    <n v="20"/>
    <n v="2"/>
    <n v="28"/>
  </r>
  <r>
    <n v="3237"/>
    <x v="6"/>
    <x v="0"/>
    <d v="2024-03-03T00:00:00"/>
    <x v="0"/>
    <n v="15"/>
    <x v="2"/>
    <s v="Yes"/>
    <x v="0"/>
    <x v="0"/>
    <n v="20"/>
    <n v="10"/>
    <n v="55"/>
  </r>
  <r>
    <n v="3238"/>
    <x v="7"/>
    <x v="1"/>
    <d v="2024-03-04T00:00:00"/>
    <x v="0"/>
    <n v="5"/>
    <x v="1"/>
    <s v="No"/>
    <x v="1"/>
    <x v="1"/>
    <n v="0"/>
    <n v="0"/>
    <n v="5"/>
  </r>
  <r>
    <n v="3239"/>
    <x v="8"/>
    <x v="0"/>
    <d v="2024-03-05T00:00:00"/>
    <x v="1"/>
    <n v="15"/>
    <x v="0"/>
    <s v="Yes"/>
    <x v="0"/>
    <x v="0"/>
    <n v="20"/>
    <n v="5"/>
    <n v="60"/>
  </r>
  <r>
    <n v="3240"/>
    <x v="9"/>
    <x v="2"/>
    <d v="2024-03-06T00:00:00"/>
    <x v="0"/>
    <n v="10"/>
    <x v="2"/>
    <s v="No"/>
    <x v="1"/>
    <x v="0"/>
    <n v="20"/>
    <n v="15"/>
    <n v="15"/>
  </r>
  <r>
    <n v="3241"/>
    <x v="10"/>
    <x v="1"/>
    <d v="2024-03-07T00:00:00"/>
    <x v="1"/>
    <n v="5"/>
    <x v="0"/>
    <s v="No"/>
    <x v="1"/>
    <x v="1"/>
    <n v="0"/>
    <n v="1"/>
    <n v="4"/>
  </r>
  <r>
    <n v="3242"/>
    <x v="11"/>
    <x v="0"/>
    <d v="2024-03-08T00:00:00"/>
    <x v="0"/>
    <n v="15"/>
    <x v="1"/>
    <s v="Yes"/>
    <x v="0"/>
    <x v="0"/>
    <n v="20"/>
    <n v="20"/>
    <n v="45"/>
  </r>
  <r>
    <n v="3243"/>
    <x v="12"/>
    <x v="2"/>
    <d v="2024-03-09T00:00:00"/>
    <x v="1"/>
    <n v="10"/>
    <x v="0"/>
    <s v="No"/>
    <x v="1"/>
    <x v="0"/>
    <n v="20"/>
    <n v="10"/>
    <n v="20"/>
  </r>
  <r>
    <n v="3244"/>
    <x v="13"/>
    <x v="1"/>
    <d v="2024-03-10T00:00:00"/>
    <x v="0"/>
    <n v="5"/>
    <x v="2"/>
    <s v="No"/>
    <x v="1"/>
    <x v="1"/>
    <n v="0"/>
    <n v="0"/>
    <n v="5"/>
  </r>
  <r>
    <n v="3245"/>
    <x v="14"/>
    <x v="0"/>
    <d v="2024-03-11T00:00:00"/>
    <x v="1"/>
    <n v="15"/>
    <x v="0"/>
    <s v="Yes"/>
    <x v="0"/>
    <x v="0"/>
    <n v="20"/>
    <n v="8"/>
    <n v="57"/>
  </r>
  <r>
    <n v="3246"/>
    <x v="15"/>
    <x v="2"/>
    <d v="2024-03-12T00:00:00"/>
    <x v="0"/>
    <n v="10"/>
    <x v="1"/>
    <s v="No"/>
    <x v="1"/>
    <x v="0"/>
    <n v="20"/>
    <n v="12"/>
    <n v="18"/>
  </r>
  <r>
    <n v="3247"/>
    <x v="16"/>
    <x v="1"/>
    <d v="2024-03-13T00:00:00"/>
    <x v="1"/>
    <n v="5"/>
    <x v="0"/>
    <s v="No"/>
    <x v="1"/>
    <x v="1"/>
    <n v="0"/>
    <n v="2"/>
    <n v="3"/>
  </r>
  <r>
    <n v="3248"/>
    <x v="17"/>
    <x v="0"/>
    <d v="2024-03-14T00:00:00"/>
    <x v="0"/>
    <n v="15"/>
    <x v="2"/>
    <s v="Yes"/>
    <x v="0"/>
    <x v="0"/>
    <n v="20"/>
    <n v="7"/>
    <n v="58"/>
  </r>
  <r>
    <n v="3249"/>
    <x v="18"/>
    <x v="2"/>
    <d v="2024-03-15T00:00:00"/>
    <x v="1"/>
    <n v="10"/>
    <x v="0"/>
    <s v="No"/>
    <x v="1"/>
    <x v="0"/>
    <n v="20"/>
    <n v="5"/>
    <n v="25"/>
  </r>
  <r>
    <n v="3250"/>
    <x v="19"/>
    <x v="1"/>
    <d v="2024-03-16T00:00:00"/>
    <x v="0"/>
    <n v="5"/>
    <x v="1"/>
    <s v="No"/>
    <x v="1"/>
    <x v="1"/>
    <n v="0"/>
    <n v="0"/>
    <n v="5"/>
  </r>
  <r>
    <n v="3251"/>
    <x v="20"/>
    <x v="0"/>
    <d v="2024-03-17T00:00:00"/>
    <x v="1"/>
    <n v="15"/>
    <x v="0"/>
    <s v="Yes"/>
    <x v="0"/>
    <x v="0"/>
    <n v="20"/>
    <n v="3"/>
    <n v="62"/>
  </r>
  <r>
    <n v="3252"/>
    <x v="21"/>
    <x v="2"/>
    <d v="2024-03-18T00:00:00"/>
    <x v="0"/>
    <n v="10"/>
    <x v="2"/>
    <s v="No"/>
    <x v="1"/>
    <x v="0"/>
    <n v="20"/>
    <n v="15"/>
    <n v="15"/>
  </r>
  <r>
    <n v="3253"/>
    <x v="22"/>
    <x v="1"/>
    <d v="2024-03-19T00:00:00"/>
    <x v="1"/>
    <n v="5"/>
    <x v="0"/>
    <s v="No"/>
    <x v="1"/>
    <x v="1"/>
    <n v="0"/>
    <n v="1"/>
    <n v="4"/>
  </r>
  <r>
    <n v="3254"/>
    <x v="23"/>
    <x v="0"/>
    <d v="2024-03-20T00:00:00"/>
    <x v="0"/>
    <n v="15"/>
    <x v="1"/>
    <s v="Yes"/>
    <x v="0"/>
    <x v="0"/>
    <n v="20"/>
    <n v="20"/>
    <n v="45"/>
  </r>
  <r>
    <n v="3255"/>
    <x v="24"/>
    <x v="2"/>
    <d v="2024-03-21T00:00:00"/>
    <x v="1"/>
    <n v="10"/>
    <x v="0"/>
    <s v="No"/>
    <x v="1"/>
    <x v="0"/>
    <n v="20"/>
    <n v="10"/>
    <n v="20"/>
  </r>
  <r>
    <n v="3256"/>
    <x v="25"/>
    <x v="1"/>
    <d v="2024-03-22T00:00:00"/>
    <x v="0"/>
    <n v="5"/>
    <x v="2"/>
    <s v="No"/>
    <x v="1"/>
    <x v="1"/>
    <n v="0"/>
    <n v="0"/>
    <n v="5"/>
  </r>
  <r>
    <n v="3257"/>
    <x v="26"/>
    <x v="0"/>
    <d v="2024-03-23T00:00:00"/>
    <x v="1"/>
    <n v="15"/>
    <x v="0"/>
    <s v="Yes"/>
    <x v="0"/>
    <x v="0"/>
    <n v="20"/>
    <n v="5"/>
    <n v="60"/>
  </r>
  <r>
    <n v="3258"/>
    <x v="27"/>
    <x v="2"/>
    <d v="2024-03-24T00:00:00"/>
    <x v="0"/>
    <n v="10"/>
    <x v="1"/>
    <s v="No"/>
    <x v="1"/>
    <x v="0"/>
    <n v="20"/>
    <n v="15"/>
    <n v="15"/>
  </r>
  <r>
    <n v="3259"/>
    <x v="28"/>
    <x v="1"/>
    <d v="2024-03-25T00:00:00"/>
    <x v="1"/>
    <n v="5"/>
    <x v="0"/>
    <s v="No"/>
    <x v="1"/>
    <x v="1"/>
    <n v="0"/>
    <n v="1"/>
    <n v="4"/>
  </r>
  <r>
    <n v="3260"/>
    <x v="29"/>
    <x v="0"/>
    <d v="2024-03-26T00:00:00"/>
    <x v="0"/>
    <n v="15"/>
    <x v="2"/>
    <s v="Yes"/>
    <x v="0"/>
    <x v="0"/>
    <n v="20"/>
    <n v="7"/>
    <n v="58"/>
  </r>
  <r>
    <n v="3261"/>
    <x v="30"/>
    <x v="2"/>
    <d v="2024-03-27T00:00:00"/>
    <x v="1"/>
    <n v="10"/>
    <x v="0"/>
    <s v="No"/>
    <x v="1"/>
    <x v="0"/>
    <n v="20"/>
    <n v="10"/>
    <n v="20"/>
  </r>
  <r>
    <n v="3262"/>
    <x v="31"/>
    <x v="1"/>
    <d v="2024-03-28T00:00:00"/>
    <x v="0"/>
    <n v="5"/>
    <x v="1"/>
    <s v="No"/>
    <x v="1"/>
    <x v="1"/>
    <n v="0"/>
    <n v="0"/>
    <n v="5"/>
  </r>
  <r>
    <n v="3263"/>
    <x v="32"/>
    <x v="0"/>
    <d v="2024-03-29T00:00:00"/>
    <x v="1"/>
    <n v="15"/>
    <x v="0"/>
    <s v="Yes"/>
    <x v="0"/>
    <x v="0"/>
    <n v="20"/>
    <n v="3"/>
    <n v="62"/>
  </r>
  <r>
    <n v="3264"/>
    <x v="33"/>
    <x v="2"/>
    <d v="2024-03-30T00:00:00"/>
    <x v="0"/>
    <n v="10"/>
    <x v="2"/>
    <s v="No"/>
    <x v="1"/>
    <x v="0"/>
    <n v="20"/>
    <n v="15"/>
    <n v="15"/>
  </r>
  <r>
    <n v="3265"/>
    <x v="34"/>
    <x v="1"/>
    <d v="2024-03-31T00:00:00"/>
    <x v="1"/>
    <n v="5"/>
    <x v="0"/>
    <s v="No"/>
    <x v="1"/>
    <x v="1"/>
    <n v="0"/>
    <n v="1"/>
    <n v="4"/>
  </r>
  <r>
    <n v="3266"/>
    <x v="35"/>
    <x v="1"/>
    <d v="2024-04-01T00:00:00"/>
    <x v="0"/>
    <n v="5"/>
    <x v="0"/>
    <s v="No"/>
    <x v="1"/>
    <x v="1"/>
    <n v="0"/>
    <n v="0"/>
    <n v="5"/>
  </r>
  <r>
    <n v="3267"/>
    <x v="36"/>
    <x v="0"/>
    <d v="2024-04-02T00:00:00"/>
    <x v="1"/>
    <n v="15"/>
    <x v="2"/>
    <s v="Yes"/>
    <x v="0"/>
    <x v="0"/>
    <n v="20"/>
    <n v="7"/>
    <n v="58"/>
  </r>
  <r>
    <n v="3268"/>
    <x v="37"/>
    <x v="2"/>
    <d v="2024-04-03T00:00:00"/>
    <x v="0"/>
    <n v="10"/>
    <x v="1"/>
    <s v="No"/>
    <x v="1"/>
    <x v="0"/>
    <n v="20"/>
    <n v="10"/>
    <n v="20"/>
  </r>
  <r>
    <n v="3269"/>
    <x v="38"/>
    <x v="1"/>
    <d v="2024-04-04T00:00:00"/>
    <x v="1"/>
    <n v="5"/>
    <x v="2"/>
    <s v="No"/>
    <x v="1"/>
    <x v="1"/>
    <n v="0"/>
    <n v="1"/>
    <n v="4"/>
  </r>
  <r>
    <n v="3270"/>
    <x v="39"/>
    <x v="0"/>
    <d v="2024-04-05T00:00:00"/>
    <x v="0"/>
    <n v="15"/>
    <x v="0"/>
    <s v="Yes"/>
    <x v="0"/>
    <x v="0"/>
    <n v="20"/>
    <n v="15"/>
    <n v="50"/>
  </r>
  <r>
    <n v="3271"/>
    <x v="40"/>
    <x v="2"/>
    <d v="2024-04-06T00:00:00"/>
    <x v="1"/>
    <n v="10"/>
    <x v="0"/>
    <s v="No"/>
    <x v="1"/>
    <x v="0"/>
    <n v="20"/>
    <n v="5"/>
    <n v="25"/>
  </r>
  <r>
    <n v="3272"/>
    <x v="41"/>
    <x v="1"/>
    <d v="2024-04-07T00:00:00"/>
    <x v="0"/>
    <n v="5"/>
    <x v="1"/>
    <s v="No"/>
    <x v="1"/>
    <x v="1"/>
    <n v="0"/>
    <n v="0"/>
    <n v="5"/>
  </r>
  <r>
    <n v="3273"/>
    <x v="42"/>
    <x v="0"/>
    <d v="2024-04-08T00:00:00"/>
    <x v="1"/>
    <n v="15"/>
    <x v="2"/>
    <s v="Yes"/>
    <x v="0"/>
    <x v="0"/>
    <n v="20"/>
    <n v="20"/>
    <n v="45"/>
  </r>
  <r>
    <n v="3274"/>
    <x v="43"/>
    <x v="2"/>
    <d v="2024-04-09T00:00:00"/>
    <x v="0"/>
    <n v="10"/>
    <x v="2"/>
    <s v="No"/>
    <x v="1"/>
    <x v="0"/>
    <n v="20"/>
    <n v="12"/>
    <n v="18"/>
  </r>
  <r>
    <n v="3275"/>
    <x v="44"/>
    <x v="1"/>
    <d v="2024-04-10T00:00:00"/>
    <x v="1"/>
    <n v="5"/>
    <x v="0"/>
    <s v="No"/>
    <x v="1"/>
    <x v="1"/>
    <n v="0"/>
    <n v="2"/>
    <n v="3"/>
  </r>
  <r>
    <n v="3276"/>
    <x v="45"/>
    <x v="0"/>
    <d v="2024-04-11T00:00:00"/>
    <x v="0"/>
    <n v="15"/>
    <x v="1"/>
    <s v="Yes"/>
    <x v="0"/>
    <x v="0"/>
    <n v="20"/>
    <n v="5"/>
    <n v="60"/>
  </r>
  <r>
    <n v="3277"/>
    <x v="46"/>
    <x v="2"/>
    <d v="2024-04-12T00:00:00"/>
    <x v="1"/>
    <n v="10"/>
    <x v="0"/>
    <s v="No"/>
    <x v="1"/>
    <x v="0"/>
    <n v="20"/>
    <n v="10"/>
    <n v="20"/>
  </r>
  <r>
    <n v="3278"/>
    <x v="47"/>
    <x v="1"/>
    <d v="2024-04-13T00:00:00"/>
    <x v="0"/>
    <n v="5"/>
    <x v="2"/>
    <s v="No"/>
    <x v="1"/>
    <x v="1"/>
    <n v="0"/>
    <n v="0"/>
    <n v="5"/>
  </r>
  <r>
    <n v="3279"/>
    <x v="48"/>
    <x v="0"/>
    <d v="2024-04-14T00:00:00"/>
    <x v="1"/>
    <n v="15"/>
    <x v="0"/>
    <s v="Yes"/>
    <x v="0"/>
    <x v="0"/>
    <n v="20"/>
    <n v="3"/>
    <n v="62"/>
  </r>
  <r>
    <n v="3280"/>
    <x v="49"/>
    <x v="2"/>
    <d v="2024-04-15T00:00:00"/>
    <x v="0"/>
    <n v="10"/>
    <x v="1"/>
    <s v="No"/>
    <x v="1"/>
    <x v="0"/>
    <n v="20"/>
    <n v="15"/>
    <n v="15"/>
  </r>
  <r>
    <n v="3281"/>
    <x v="50"/>
    <x v="1"/>
    <d v="2024-04-16T00:00:00"/>
    <x v="1"/>
    <n v="5"/>
    <x v="0"/>
    <s v="No"/>
    <x v="1"/>
    <x v="1"/>
    <n v="0"/>
    <n v="1"/>
    <n v="4"/>
  </r>
  <r>
    <n v="3282"/>
    <x v="51"/>
    <x v="0"/>
    <d v="2024-04-17T00:00:00"/>
    <x v="0"/>
    <n v="15"/>
    <x v="2"/>
    <s v="Yes"/>
    <x v="0"/>
    <x v="0"/>
    <n v="20"/>
    <n v="7"/>
    <n v="58"/>
  </r>
  <r>
    <n v="3283"/>
    <x v="52"/>
    <x v="2"/>
    <d v="2024-04-18T00:00:00"/>
    <x v="1"/>
    <n v="10"/>
    <x v="0"/>
    <s v="No"/>
    <x v="1"/>
    <x v="0"/>
    <n v="20"/>
    <n v="10"/>
    <n v="20"/>
  </r>
  <r>
    <n v="3284"/>
    <x v="53"/>
    <x v="1"/>
    <d v="2024-04-19T00:00:00"/>
    <x v="0"/>
    <n v="5"/>
    <x v="1"/>
    <s v="No"/>
    <x v="1"/>
    <x v="1"/>
    <n v="0"/>
    <n v="0"/>
    <n v="5"/>
  </r>
  <r>
    <n v="3285"/>
    <x v="54"/>
    <x v="0"/>
    <d v="2024-04-20T00:00:00"/>
    <x v="1"/>
    <n v="15"/>
    <x v="0"/>
    <s v="Yes"/>
    <x v="0"/>
    <x v="0"/>
    <n v="20"/>
    <n v="20"/>
    <n v="45"/>
  </r>
  <r>
    <n v="3286"/>
    <x v="55"/>
    <x v="2"/>
    <d v="2024-04-21T00:00:00"/>
    <x v="0"/>
    <n v="10"/>
    <x v="2"/>
    <s v="No"/>
    <x v="1"/>
    <x v="0"/>
    <n v="20"/>
    <n v="15"/>
    <n v="15"/>
  </r>
  <r>
    <n v="3287"/>
    <x v="56"/>
    <x v="1"/>
    <d v="2024-04-22T00:00:00"/>
    <x v="1"/>
    <n v="5"/>
    <x v="0"/>
    <s v="No"/>
    <x v="1"/>
    <x v="1"/>
    <n v="0"/>
    <n v="1"/>
    <n v="4"/>
  </r>
  <r>
    <n v="3288"/>
    <x v="57"/>
    <x v="0"/>
    <d v="2024-04-23T00:00:00"/>
    <x v="0"/>
    <n v="15"/>
    <x v="1"/>
    <s v="Yes"/>
    <x v="0"/>
    <x v="0"/>
    <n v="20"/>
    <n v="3"/>
    <n v="62"/>
  </r>
  <r>
    <n v="3289"/>
    <x v="58"/>
    <x v="2"/>
    <d v="2024-04-24T00:00:00"/>
    <x v="1"/>
    <n v="10"/>
    <x v="0"/>
    <s v="No"/>
    <x v="1"/>
    <x v="0"/>
    <n v="20"/>
    <n v="10"/>
    <n v="20"/>
  </r>
  <r>
    <n v="3290"/>
    <x v="59"/>
    <x v="1"/>
    <d v="2024-04-25T00:00:00"/>
    <x v="0"/>
    <n v="5"/>
    <x v="2"/>
    <s v="No"/>
    <x v="1"/>
    <x v="1"/>
    <n v="0"/>
    <n v="0"/>
    <n v="5"/>
  </r>
  <r>
    <n v="3291"/>
    <x v="60"/>
    <x v="0"/>
    <d v="2024-04-26T00:00:00"/>
    <x v="1"/>
    <n v="15"/>
    <x v="0"/>
    <s v="Yes"/>
    <x v="0"/>
    <x v="0"/>
    <n v="20"/>
    <n v="5"/>
    <n v="60"/>
  </r>
  <r>
    <n v="3292"/>
    <x v="61"/>
    <x v="2"/>
    <d v="2024-04-27T00:00:00"/>
    <x v="0"/>
    <n v="10"/>
    <x v="1"/>
    <s v="No"/>
    <x v="1"/>
    <x v="0"/>
    <n v="20"/>
    <n v="15"/>
    <n v="15"/>
  </r>
  <r>
    <n v="3293"/>
    <x v="62"/>
    <x v="1"/>
    <d v="2024-04-28T00:00:00"/>
    <x v="1"/>
    <n v="5"/>
    <x v="0"/>
    <s v="No"/>
    <x v="1"/>
    <x v="1"/>
    <n v="0"/>
    <n v="1"/>
    <n v="4"/>
  </r>
  <r>
    <n v="3294"/>
    <x v="63"/>
    <x v="0"/>
    <d v="2024-04-29T00:00:00"/>
    <x v="0"/>
    <n v="15"/>
    <x v="2"/>
    <s v="Yes"/>
    <x v="0"/>
    <x v="0"/>
    <n v="20"/>
    <n v="20"/>
    <n v="45"/>
  </r>
  <r>
    <n v="3295"/>
    <x v="64"/>
    <x v="2"/>
    <d v="2024-04-30T00:00:00"/>
    <x v="1"/>
    <n v="10"/>
    <x v="0"/>
    <s v="No"/>
    <x v="1"/>
    <x v="0"/>
    <n v="20"/>
    <n v="5"/>
    <n v="25"/>
  </r>
  <r>
    <n v="3296"/>
    <x v="65"/>
    <x v="1"/>
    <d v="2024-05-01T00:00:00"/>
    <x v="1"/>
    <n v="5"/>
    <x v="0"/>
    <s v="No"/>
    <x v="1"/>
    <x v="1"/>
    <n v="0"/>
    <n v="0"/>
    <n v="5"/>
  </r>
  <r>
    <n v="3297"/>
    <x v="66"/>
    <x v="0"/>
    <d v="2024-05-02T00:00:00"/>
    <x v="0"/>
    <n v="15"/>
    <x v="2"/>
    <s v="Yes"/>
    <x v="0"/>
    <x v="0"/>
    <n v="20"/>
    <n v="7"/>
    <n v="58"/>
  </r>
  <r>
    <n v="3298"/>
    <x v="67"/>
    <x v="2"/>
    <d v="2024-05-03T00:00:00"/>
    <x v="1"/>
    <n v="10"/>
    <x v="1"/>
    <s v="No"/>
    <x v="1"/>
    <x v="0"/>
    <n v="20"/>
    <n v="10"/>
    <n v="20"/>
  </r>
  <r>
    <n v="3299"/>
    <x v="68"/>
    <x v="1"/>
    <d v="2024-05-04T00:00:00"/>
    <x v="0"/>
    <n v="5"/>
    <x v="2"/>
    <s v="No"/>
    <x v="1"/>
    <x v="1"/>
    <n v="0"/>
    <n v="1"/>
    <n v="4"/>
  </r>
  <r>
    <n v="3300"/>
    <x v="69"/>
    <x v="0"/>
    <d v="2024-05-05T00:00:00"/>
    <x v="1"/>
    <n v="15"/>
    <x v="0"/>
    <s v="Yes"/>
    <x v="0"/>
    <x v="0"/>
    <n v="20"/>
    <n v="15"/>
    <n v="50"/>
  </r>
  <r>
    <n v="3301"/>
    <x v="70"/>
    <x v="2"/>
    <d v="2024-05-06T00:00:00"/>
    <x v="0"/>
    <n v="10"/>
    <x v="0"/>
    <s v="No"/>
    <x v="1"/>
    <x v="0"/>
    <n v="20"/>
    <n v="5"/>
    <n v="25"/>
  </r>
  <r>
    <n v="3302"/>
    <x v="71"/>
    <x v="1"/>
    <d v="2024-05-07T00:00:00"/>
    <x v="1"/>
    <n v="5"/>
    <x v="1"/>
    <s v="No"/>
    <x v="1"/>
    <x v="1"/>
    <n v="0"/>
    <n v="0"/>
    <n v="5"/>
  </r>
  <r>
    <n v="3303"/>
    <x v="72"/>
    <x v="0"/>
    <d v="2024-05-08T00:00:00"/>
    <x v="0"/>
    <n v="15"/>
    <x v="2"/>
    <s v="Yes"/>
    <x v="0"/>
    <x v="0"/>
    <n v="20"/>
    <n v="20"/>
    <n v="45"/>
  </r>
  <r>
    <n v="3304"/>
    <x v="73"/>
    <x v="2"/>
    <d v="2024-05-09T00:00:00"/>
    <x v="1"/>
    <n v="10"/>
    <x v="2"/>
    <s v="No"/>
    <x v="1"/>
    <x v="0"/>
    <n v="20"/>
    <n v="12"/>
    <n v="18"/>
  </r>
  <r>
    <n v="3305"/>
    <x v="74"/>
    <x v="1"/>
    <d v="2024-05-10T00:00:00"/>
    <x v="0"/>
    <n v="5"/>
    <x v="0"/>
    <s v="No"/>
    <x v="1"/>
    <x v="1"/>
    <n v="0"/>
    <n v="2"/>
    <n v="3"/>
  </r>
  <r>
    <n v="3306"/>
    <x v="75"/>
    <x v="0"/>
    <d v="2024-05-11T00:00:00"/>
    <x v="1"/>
    <n v="15"/>
    <x v="1"/>
    <s v="Yes"/>
    <x v="0"/>
    <x v="0"/>
    <n v="20"/>
    <n v="5"/>
    <n v="60"/>
  </r>
  <r>
    <n v="3307"/>
    <x v="76"/>
    <x v="2"/>
    <d v="2024-05-12T00:00:00"/>
    <x v="0"/>
    <n v="10"/>
    <x v="0"/>
    <s v="No"/>
    <x v="1"/>
    <x v="0"/>
    <n v="20"/>
    <n v="10"/>
    <n v="20"/>
  </r>
  <r>
    <n v="3308"/>
    <x v="77"/>
    <x v="1"/>
    <d v="2024-05-13T00:00:00"/>
    <x v="1"/>
    <n v="5"/>
    <x v="2"/>
    <s v="No"/>
    <x v="1"/>
    <x v="1"/>
    <n v="0"/>
    <n v="0"/>
    <n v="5"/>
  </r>
  <r>
    <n v="3309"/>
    <x v="78"/>
    <x v="0"/>
    <d v="2024-05-14T00:00:00"/>
    <x v="0"/>
    <n v="15"/>
    <x v="0"/>
    <s v="Yes"/>
    <x v="0"/>
    <x v="0"/>
    <n v="20"/>
    <n v="3"/>
    <n v="62"/>
  </r>
  <r>
    <n v="3310"/>
    <x v="79"/>
    <x v="2"/>
    <d v="2024-05-15T00:00:00"/>
    <x v="1"/>
    <n v="10"/>
    <x v="1"/>
    <s v="No"/>
    <x v="1"/>
    <x v="0"/>
    <n v="20"/>
    <n v="15"/>
    <n v="15"/>
  </r>
  <r>
    <n v="3311"/>
    <x v="80"/>
    <x v="1"/>
    <d v="2024-05-16T00:00:00"/>
    <x v="0"/>
    <n v="5"/>
    <x v="0"/>
    <s v="No"/>
    <x v="1"/>
    <x v="1"/>
    <n v="0"/>
    <n v="1"/>
    <n v="4"/>
  </r>
  <r>
    <n v="3312"/>
    <x v="81"/>
    <x v="0"/>
    <d v="2024-05-17T00:00:00"/>
    <x v="1"/>
    <n v="15"/>
    <x v="2"/>
    <s v="Yes"/>
    <x v="0"/>
    <x v="0"/>
    <n v="20"/>
    <n v="7"/>
    <n v="58"/>
  </r>
  <r>
    <n v="3313"/>
    <x v="82"/>
    <x v="2"/>
    <d v="2024-05-18T00:00:00"/>
    <x v="0"/>
    <n v="10"/>
    <x v="0"/>
    <s v="No"/>
    <x v="1"/>
    <x v="0"/>
    <n v="20"/>
    <n v="10"/>
    <n v="20"/>
  </r>
  <r>
    <n v="3314"/>
    <x v="83"/>
    <x v="1"/>
    <d v="2024-05-19T00:00:00"/>
    <x v="1"/>
    <n v="5"/>
    <x v="1"/>
    <s v="No"/>
    <x v="1"/>
    <x v="1"/>
    <n v="0"/>
    <n v="0"/>
    <n v="5"/>
  </r>
  <r>
    <n v="3315"/>
    <x v="84"/>
    <x v="0"/>
    <d v="2024-05-20T00:00:00"/>
    <x v="0"/>
    <n v="15"/>
    <x v="0"/>
    <s v="Yes"/>
    <x v="0"/>
    <x v="0"/>
    <n v="20"/>
    <n v="20"/>
    <n v="45"/>
  </r>
  <r>
    <n v="3316"/>
    <x v="85"/>
    <x v="2"/>
    <d v="2024-05-21T00:00:00"/>
    <x v="1"/>
    <n v="10"/>
    <x v="2"/>
    <s v="No"/>
    <x v="1"/>
    <x v="0"/>
    <n v="20"/>
    <n v="15"/>
    <n v="15"/>
  </r>
  <r>
    <n v="3317"/>
    <x v="86"/>
    <x v="1"/>
    <d v="2024-05-22T00:00:00"/>
    <x v="0"/>
    <n v="5"/>
    <x v="0"/>
    <s v="No"/>
    <x v="1"/>
    <x v="1"/>
    <n v="0"/>
    <n v="1"/>
    <n v="4"/>
  </r>
  <r>
    <n v="3318"/>
    <x v="87"/>
    <x v="0"/>
    <d v="2024-05-23T00:00:00"/>
    <x v="1"/>
    <n v="15"/>
    <x v="1"/>
    <s v="Yes"/>
    <x v="0"/>
    <x v="0"/>
    <n v="20"/>
    <n v="3"/>
    <n v="62"/>
  </r>
  <r>
    <n v="3319"/>
    <x v="88"/>
    <x v="2"/>
    <d v="2024-05-24T00:00:00"/>
    <x v="0"/>
    <n v="10"/>
    <x v="0"/>
    <s v="No"/>
    <x v="1"/>
    <x v="0"/>
    <n v="20"/>
    <n v="10"/>
    <n v="20"/>
  </r>
  <r>
    <n v="3320"/>
    <x v="89"/>
    <x v="1"/>
    <d v="2024-05-25T00:00:00"/>
    <x v="1"/>
    <n v="5"/>
    <x v="2"/>
    <s v="No"/>
    <x v="1"/>
    <x v="1"/>
    <n v="0"/>
    <n v="0"/>
    <n v="5"/>
  </r>
  <r>
    <n v="3321"/>
    <x v="90"/>
    <x v="0"/>
    <d v="2024-05-26T00:00:00"/>
    <x v="0"/>
    <n v="15"/>
    <x v="0"/>
    <s v="Yes"/>
    <x v="0"/>
    <x v="0"/>
    <n v="20"/>
    <n v="5"/>
    <n v="60"/>
  </r>
  <r>
    <n v="3322"/>
    <x v="91"/>
    <x v="2"/>
    <d v="2024-05-27T00:00:00"/>
    <x v="1"/>
    <n v="10"/>
    <x v="1"/>
    <s v="No"/>
    <x v="1"/>
    <x v="0"/>
    <n v="20"/>
    <n v="15"/>
    <n v="15"/>
  </r>
  <r>
    <n v="3323"/>
    <x v="92"/>
    <x v="1"/>
    <d v="2024-05-28T00:00:00"/>
    <x v="0"/>
    <n v="5"/>
    <x v="0"/>
    <s v="No"/>
    <x v="1"/>
    <x v="1"/>
    <n v="0"/>
    <n v="1"/>
    <n v="4"/>
  </r>
  <r>
    <n v="3324"/>
    <x v="93"/>
    <x v="0"/>
    <d v="2024-05-29T00:00:00"/>
    <x v="1"/>
    <n v="15"/>
    <x v="2"/>
    <s v="Yes"/>
    <x v="0"/>
    <x v="0"/>
    <n v="20"/>
    <n v="20"/>
    <n v="45"/>
  </r>
  <r>
    <n v="3325"/>
    <x v="94"/>
    <x v="2"/>
    <d v="2024-05-30T00:00:00"/>
    <x v="0"/>
    <n v="10"/>
    <x v="2"/>
    <s v="No"/>
    <x v="1"/>
    <x v="0"/>
    <n v="20"/>
    <n v="15"/>
    <n v="15"/>
  </r>
  <r>
    <n v="3326"/>
    <x v="95"/>
    <x v="1"/>
    <d v="2024-05-31T00:00:00"/>
    <x v="1"/>
    <n v="5"/>
    <x v="1"/>
    <s v="No"/>
    <x v="1"/>
    <x v="1"/>
    <n v="0"/>
    <n v="0"/>
    <n v="5"/>
  </r>
  <r>
    <n v="3327"/>
    <x v="96"/>
    <x v="0"/>
    <d v="2024-06-01T00:00:00"/>
    <x v="0"/>
    <n v="15"/>
    <x v="0"/>
    <s v="Yes"/>
    <x v="0"/>
    <x v="0"/>
    <n v="20"/>
    <n v="7"/>
    <n v="58"/>
  </r>
  <r>
    <n v="3328"/>
    <x v="97"/>
    <x v="2"/>
    <d v="2024-06-02T00:00:00"/>
    <x v="1"/>
    <n v="10"/>
    <x v="1"/>
    <s v="No"/>
    <x v="1"/>
    <x v="0"/>
    <n v="20"/>
    <n v="10"/>
    <n v="20"/>
  </r>
  <r>
    <n v="3329"/>
    <x v="98"/>
    <x v="1"/>
    <d v="2024-06-03T00:00:00"/>
    <x v="0"/>
    <n v="5"/>
    <x v="2"/>
    <s v="No"/>
    <x v="1"/>
    <x v="1"/>
    <n v="0"/>
    <n v="1"/>
    <n v="4"/>
  </r>
  <r>
    <n v="3330"/>
    <x v="99"/>
    <x v="0"/>
    <d v="2024-06-04T00:00:00"/>
    <x v="1"/>
    <n v="15"/>
    <x v="0"/>
    <s v="Yes"/>
    <x v="0"/>
    <x v="0"/>
    <n v="20"/>
    <n v="15"/>
    <n v="50"/>
  </r>
  <r>
    <n v="3331"/>
    <x v="100"/>
    <x v="2"/>
    <d v="2024-06-05T00:00:00"/>
    <x v="0"/>
    <n v="10"/>
    <x v="0"/>
    <s v="No"/>
    <x v="1"/>
    <x v="0"/>
    <n v="20"/>
    <n v="5"/>
    <n v="25"/>
  </r>
  <r>
    <n v="3332"/>
    <x v="101"/>
    <x v="1"/>
    <d v="2024-06-06T00:00:00"/>
    <x v="1"/>
    <n v="5"/>
    <x v="1"/>
    <s v="No"/>
    <x v="1"/>
    <x v="1"/>
    <n v="0"/>
    <n v="0"/>
    <n v="5"/>
  </r>
  <r>
    <n v="3333"/>
    <x v="102"/>
    <x v="0"/>
    <d v="2024-06-07T00:00:00"/>
    <x v="0"/>
    <n v="15"/>
    <x v="2"/>
    <s v="Yes"/>
    <x v="0"/>
    <x v="0"/>
    <n v="20"/>
    <n v="20"/>
    <n v="45"/>
  </r>
  <r>
    <n v="3334"/>
    <x v="103"/>
    <x v="2"/>
    <d v="2024-06-08T00:00:00"/>
    <x v="1"/>
    <n v="10"/>
    <x v="2"/>
    <s v="No"/>
    <x v="1"/>
    <x v="0"/>
    <n v="20"/>
    <n v="12"/>
    <n v="18"/>
  </r>
  <r>
    <n v="3335"/>
    <x v="104"/>
    <x v="1"/>
    <d v="2024-06-09T00:00:00"/>
    <x v="0"/>
    <n v="5"/>
    <x v="0"/>
    <s v="No"/>
    <x v="1"/>
    <x v="1"/>
    <n v="0"/>
    <n v="2"/>
    <n v="3"/>
  </r>
  <r>
    <n v="3336"/>
    <x v="105"/>
    <x v="1"/>
    <d v="2024-06-10T00:00:00"/>
    <x v="0"/>
    <n v="5"/>
    <x v="0"/>
    <s v="No"/>
    <x v="1"/>
    <x v="1"/>
    <n v="0"/>
    <n v="0"/>
    <n v="5"/>
  </r>
  <r>
    <n v="3337"/>
    <x v="106"/>
    <x v="0"/>
    <d v="2024-06-11T00:00:00"/>
    <x v="1"/>
    <n v="15"/>
    <x v="2"/>
    <s v="Yes"/>
    <x v="0"/>
    <x v="0"/>
    <n v="20"/>
    <n v="7"/>
    <n v="58"/>
  </r>
  <r>
    <n v="3338"/>
    <x v="107"/>
    <x v="2"/>
    <d v="2024-06-12T00:00:00"/>
    <x v="0"/>
    <n v="10"/>
    <x v="1"/>
    <s v="No"/>
    <x v="1"/>
    <x v="0"/>
    <n v="20"/>
    <n v="10"/>
    <n v="20"/>
  </r>
  <r>
    <n v="3339"/>
    <x v="108"/>
    <x v="1"/>
    <d v="2024-06-13T00:00:00"/>
    <x v="1"/>
    <n v="5"/>
    <x v="2"/>
    <s v="No"/>
    <x v="1"/>
    <x v="1"/>
    <n v="0"/>
    <n v="1"/>
    <n v="4"/>
  </r>
  <r>
    <n v="3340"/>
    <x v="109"/>
    <x v="0"/>
    <d v="2024-06-14T00:00:00"/>
    <x v="0"/>
    <n v="15"/>
    <x v="0"/>
    <s v="Yes"/>
    <x v="0"/>
    <x v="0"/>
    <n v="20"/>
    <n v="15"/>
    <n v="50"/>
  </r>
  <r>
    <n v="3341"/>
    <x v="110"/>
    <x v="2"/>
    <d v="2024-06-15T00:00:00"/>
    <x v="1"/>
    <n v="10"/>
    <x v="0"/>
    <s v="No"/>
    <x v="1"/>
    <x v="0"/>
    <n v="20"/>
    <n v="5"/>
    <n v="25"/>
  </r>
  <r>
    <n v="3342"/>
    <x v="111"/>
    <x v="1"/>
    <d v="2024-06-16T00:00:00"/>
    <x v="0"/>
    <n v="5"/>
    <x v="1"/>
    <s v="No"/>
    <x v="1"/>
    <x v="1"/>
    <n v="0"/>
    <n v="0"/>
    <n v="5"/>
  </r>
  <r>
    <n v="3343"/>
    <x v="112"/>
    <x v="0"/>
    <d v="2024-06-17T00:00:00"/>
    <x v="1"/>
    <n v="15"/>
    <x v="2"/>
    <s v="Yes"/>
    <x v="0"/>
    <x v="0"/>
    <n v="20"/>
    <n v="20"/>
    <n v="45"/>
  </r>
  <r>
    <n v="3344"/>
    <x v="113"/>
    <x v="2"/>
    <d v="2024-06-18T00:00:00"/>
    <x v="0"/>
    <n v="10"/>
    <x v="2"/>
    <s v="No"/>
    <x v="1"/>
    <x v="0"/>
    <n v="20"/>
    <n v="12"/>
    <n v="18"/>
  </r>
  <r>
    <n v="3345"/>
    <x v="114"/>
    <x v="1"/>
    <d v="2024-06-19T00:00:00"/>
    <x v="1"/>
    <n v="5"/>
    <x v="0"/>
    <s v="No"/>
    <x v="1"/>
    <x v="1"/>
    <n v="0"/>
    <n v="2"/>
    <n v="3"/>
  </r>
  <r>
    <n v="3346"/>
    <x v="115"/>
    <x v="0"/>
    <d v="2024-06-20T00:00:00"/>
    <x v="0"/>
    <n v="15"/>
    <x v="1"/>
    <s v="Yes"/>
    <x v="0"/>
    <x v="0"/>
    <n v="20"/>
    <n v="5"/>
    <n v="60"/>
  </r>
  <r>
    <n v="3347"/>
    <x v="116"/>
    <x v="2"/>
    <d v="2024-06-21T00:00:00"/>
    <x v="1"/>
    <n v="10"/>
    <x v="0"/>
    <s v="No"/>
    <x v="1"/>
    <x v="0"/>
    <n v="20"/>
    <n v="10"/>
    <n v="20"/>
  </r>
  <r>
    <n v="3348"/>
    <x v="117"/>
    <x v="1"/>
    <d v="2024-06-22T00:00:00"/>
    <x v="0"/>
    <n v="5"/>
    <x v="2"/>
    <s v="No"/>
    <x v="1"/>
    <x v="1"/>
    <n v="0"/>
    <n v="0"/>
    <n v="5"/>
  </r>
  <r>
    <n v="3349"/>
    <x v="93"/>
    <x v="0"/>
    <d v="2024-06-23T00:00:00"/>
    <x v="1"/>
    <n v="15"/>
    <x v="0"/>
    <s v="Yes"/>
    <x v="0"/>
    <x v="0"/>
    <n v="20"/>
    <n v="3"/>
    <n v="62"/>
  </r>
  <r>
    <n v="3350"/>
    <x v="118"/>
    <x v="2"/>
    <d v="2024-06-24T00:00:00"/>
    <x v="0"/>
    <n v="10"/>
    <x v="1"/>
    <s v="No"/>
    <x v="1"/>
    <x v="0"/>
    <n v="20"/>
    <n v="15"/>
    <n v="15"/>
  </r>
  <r>
    <n v="3351"/>
    <x v="119"/>
    <x v="1"/>
    <d v="2024-06-25T00:00:00"/>
    <x v="1"/>
    <n v="5"/>
    <x v="0"/>
    <s v="No"/>
    <x v="1"/>
    <x v="1"/>
    <n v="0"/>
    <n v="1"/>
    <n v="4"/>
  </r>
  <r>
    <n v="3352"/>
    <x v="120"/>
    <x v="0"/>
    <d v="2024-06-26T00:00:00"/>
    <x v="0"/>
    <n v="15"/>
    <x v="2"/>
    <s v="Yes"/>
    <x v="0"/>
    <x v="0"/>
    <n v="20"/>
    <n v="7"/>
    <n v="58"/>
  </r>
  <r>
    <n v="3353"/>
    <x v="121"/>
    <x v="2"/>
    <d v="2024-06-27T00:00:00"/>
    <x v="1"/>
    <n v="10"/>
    <x v="0"/>
    <s v="No"/>
    <x v="1"/>
    <x v="0"/>
    <n v="20"/>
    <n v="10"/>
    <n v="20"/>
  </r>
  <r>
    <n v="3354"/>
    <x v="122"/>
    <x v="1"/>
    <d v="2024-06-28T00:00:00"/>
    <x v="0"/>
    <n v="5"/>
    <x v="1"/>
    <s v="No"/>
    <x v="1"/>
    <x v="1"/>
    <n v="0"/>
    <n v="0"/>
    <n v="5"/>
  </r>
  <r>
    <n v="3355"/>
    <x v="123"/>
    <x v="0"/>
    <d v="2024-06-29T00:00:00"/>
    <x v="1"/>
    <n v="15"/>
    <x v="0"/>
    <s v="Yes"/>
    <x v="0"/>
    <x v="0"/>
    <n v="20"/>
    <n v="20"/>
    <n v="45"/>
  </r>
  <r>
    <n v="3356"/>
    <x v="124"/>
    <x v="2"/>
    <d v="2024-06-30T00:00:00"/>
    <x v="0"/>
    <n v="10"/>
    <x v="2"/>
    <s v="No"/>
    <x v="1"/>
    <x v="0"/>
    <n v="20"/>
    <n v="15"/>
    <n v="15"/>
  </r>
  <r>
    <n v="3357"/>
    <x v="125"/>
    <x v="1"/>
    <d v="2024-07-01T00:00:00"/>
    <x v="1"/>
    <n v="5"/>
    <x v="0"/>
    <s v="No"/>
    <x v="1"/>
    <x v="1"/>
    <n v="0"/>
    <n v="1"/>
    <n v="4"/>
  </r>
  <r>
    <n v="3358"/>
    <x v="126"/>
    <x v="0"/>
    <d v="2024-07-02T00:00:00"/>
    <x v="0"/>
    <n v="15"/>
    <x v="1"/>
    <s v="Yes"/>
    <x v="0"/>
    <x v="0"/>
    <n v="20"/>
    <n v="3"/>
    <n v="62"/>
  </r>
  <r>
    <n v="3359"/>
    <x v="127"/>
    <x v="2"/>
    <d v="2024-07-03T00:00:00"/>
    <x v="1"/>
    <n v="10"/>
    <x v="0"/>
    <s v="No"/>
    <x v="1"/>
    <x v="0"/>
    <n v="20"/>
    <n v="10"/>
    <n v="20"/>
  </r>
  <r>
    <n v="3360"/>
    <x v="128"/>
    <x v="1"/>
    <d v="2024-07-04T00:00:00"/>
    <x v="0"/>
    <n v="5"/>
    <x v="2"/>
    <s v="No"/>
    <x v="1"/>
    <x v="1"/>
    <n v="0"/>
    <n v="0"/>
    <n v="5"/>
  </r>
  <r>
    <n v="3361"/>
    <x v="129"/>
    <x v="0"/>
    <d v="2024-07-05T00:00:00"/>
    <x v="1"/>
    <n v="15"/>
    <x v="0"/>
    <s v="Yes"/>
    <x v="0"/>
    <x v="0"/>
    <n v="20"/>
    <n v="15"/>
    <n v="50"/>
  </r>
  <r>
    <n v="3362"/>
    <x v="130"/>
    <x v="2"/>
    <d v="2024-07-06T00:00:00"/>
    <x v="0"/>
    <n v="10"/>
    <x v="1"/>
    <s v="No"/>
    <x v="1"/>
    <x v="0"/>
    <n v="20"/>
    <n v="15"/>
    <n v="15"/>
  </r>
  <r>
    <n v="3363"/>
    <x v="131"/>
    <x v="1"/>
    <d v="2024-07-07T00:00:00"/>
    <x v="1"/>
    <n v="5"/>
    <x v="0"/>
    <s v="No"/>
    <x v="1"/>
    <x v="1"/>
    <n v="0"/>
    <n v="1"/>
    <n v="4"/>
  </r>
  <r>
    <n v="3364"/>
    <x v="132"/>
    <x v="0"/>
    <d v="2024-07-08T00:00:00"/>
    <x v="0"/>
    <n v="15"/>
    <x v="2"/>
    <s v="Yes"/>
    <x v="0"/>
    <x v="0"/>
    <n v="20"/>
    <n v="7"/>
    <n v="58"/>
  </r>
  <r>
    <n v="3365"/>
    <x v="133"/>
    <x v="2"/>
    <d v="2024-07-09T00:00:00"/>
    <x v="1"/>
    <n v="10"/>
    <x v="0"/>
    <s v="No"/>
    <x v="1"/>
    <x v="0"/>
    <n v="20"/>
    <n v="10"/>
    <n v="20"/>
  </r>
  <r>
    <n v="3366"/>
    <x v="134"/>
    <x v="1"/>
    <d v="2024-07-10T00:00:00"/>
    <x v="0"/>
    <n v="5"/>
    <x v="0"/>
    <s v="No"/>
    <x v="1"/>
    <x v="1"/>
    <n v="0"/>
    <n v="0"/>
    <n v="5"/>
  </r>
  <r>
    <n v="3367"/>
    <x v="135"/>
    <x v="0"/>
    <d v="2024-07-11T00:00:00"/>
    <x v="1"/>
    <n v="15"/>
    <x v="2"/>
    <s v="Yes"/>
    <x v="0"/>
    <x v="0"/>
    <n v="20"/>
    <n v="7"/>
    <n v="58"/>
  </r>
  <r>
    <n v="3368"/>
    <x v="136"/>
    <x v="2"/>
    <d v="2024-07-12T00:00:00"/>
    <x v="0"/>
    <n v="10"/>
    <x v="1"/>
    <s v="No"/>
    <x v="1"/>
    <x v="0"/>
    <n v="20"/>
    <n v="10"/>
    <n v="20"/>
  </r>
  <r>
    <n v="3369"/>
    <x v="137"/>
    <x v="1"/>
    <d v="2024-07-13T00:00:00"/>
    <x v="1"/>
    <n v="5"/>
    <x v="2"/>
    <s v="No"/>
    <x v="1"/>
    <x v="1"/>
    <n v="0"/>
    <n v="1"/>
    <n v="4"/>
  </r>
  <r>
    <n v="3370"/>
    <x v="138"/>
    <x v="0"/>
    <d v="2024-07-14T00:00:00"/>
    <x v="0"/>
    <n v="15"/>
    <x v="0"/>
    <s v="Yes"/>
    <x v="0"/>
    <x v="0"/>
    <n v="20"/>
    <n v="15"/>
    <n v="50"/>
  </r>
  <r>
    <n v="3371"/>
    <x v="139"/>
    <x v="2"/>
    <d v="2024-07-15T00:00:00"/>
    <x v="1"/>
    <n v="10"/>
    <x v="0"/>
    <s v="No"/>
    <x v="1"/>
    <x v="0"/>
    <n v="20"/>
    <n v="5"/>
    <n v="25"/>
  </r>
  <r>
    <n v="3372"/>
    <x v="140"/>
    <x v="1"/>
    <d v="2024-07-16T00:00:00"/>
    <x v="0"/>
    <n v="5"/>
    <x v="1"/>
    <s v="No"/>
    <x v="1"/>
    <x v="1"/>
    <n v="0"/>
    <n v="0"/>
    <n v="5"/>
  </r>
  <r>
    <n v="3373"/>
    <x v="141"/>
    <x v="0"/>
    <d v="2024-07-17T00:00:00"/>
    <x v="1"/>
    <n v="15"/>
    <x v="2"/>
    <s v="Yes"/>
    <x v="0"/>
    <x v="0"/>
    <n v="20"/>
    <n v="20"/>
    <n v="45"/>
  </r>
  <r>
    <n v="3374"/>
    <x v="142"/>
    <x v="2"/>
    <d v="2024-07-18T00:00:00"/>
    <x v="0"/>
    <n v="10"/>
    <x v="2"/>
    <s v="No"/>
    <x v="1"/>
    <x v="0"/>
    <n v="20"/>
    <n v="12"/>
    <n v="18"/>
  </r>
  <r>
    <n v="3375"/>
    <x v="143"/>
    <x v="1"/>
    <d v="2024-07-19T00:00:00"/>
    <x v="1"/>
    <n v="5"/>
    <x v="0"/>
    <s v="No"/>
    <x v="1"/>
    <x v="1"/>
    <n v="0"/>
    <n v="2"/>
    <n v="3"/>
  </r>
  <r>
    <n v="3376"/>
    <x v="144"/>
    <x v="0"/>
    <d v="2024-07-20T00:00:00"/>
    <x v="0"/>
    <n v="15"/>
    <x v="1"/>
    <s v="Yes"/>
    <x v="0"/>
    <x v="0"/>
    <n v="20"/>
    <n v="5"/>
    <n v="60"/>
  </r>
  <r>
    <n v="3377"/>
    <x v="145"/>
    <x v="2"/>
    <d v="2024-07-21T00:00:00"/>
    <x v="1"/>
    <n v="10"/>
    <x v="0"/>
    <s v="No"/>
    <x v="1"/>
    <x v="0"/>
    <n v="20"/>
    <n v="10"/>
    <n v="20"/>
  </r>
  <r>
    <n v="3378"/>
    <x v="146"/>
    <x v="1"/>
    <d v="2024-07-22T00:00:00"/>
    <x v="0"/>
    <n v="5"/>
    <x v="2"/>
    <s v="No"/>
    <x v="1"/>
    <x v="1"/>
    <n v="0"/>
    <n v="0"/>
    <n v="5"/>
  </r>
  <r>
    <n v="3379"/>
    <x v="147"/>
    <x v="0"/>
    <d v="2024-07-23T00:00:00"/>
    <x v="1"/>
    <n v="15"/>
    <x v="0"/>
    <s v="Yes"/>
    <x v="0"/>
    <x v="0"/>
    <n v="20"/>
    <n v="3"/>
    <n v="62"/>
  </r>
  <r>
    <n v="3380"/>
    <x v="148"/>
    <x v="2"/>
    <d v="2024-07-24T00:00:00"/>
    <x v="0"/>
    <n v="10"/>
    <x v="1"/>
    <s v="No"/>
    <x v="1"/>
    <x v="0"/>
    <n v="20"/>
    <n v="15"/>
    <n v="15"/>
  </r>
  <r>
    <n v="3381"/>
    <x v="149"/>
    <x v="1"/>
    <d v="2024-07-25T00:00:00"/>
    <x v="1"/>
    <n v="5"/>
    <x v="0"/>
    <s v="No"/>
    <x v="1"/>
    <x v="1"/>
    <n v="0"/>
    <n v="1"/>
    <n v="4"/>
  </r>
  <r>
    <n v="3382"/>
    <x v="150"/>
    <x v="0"/>
    <d v="2024-07-26T00:00:00"/>
    <x v="0"/>
    <n v="15"/>
    <x v="2"/>
    <s v="Yes"/>
    <x v="0"/>
    <x v="0"/>
    <n v="20"/>
    <n v="7"/>
    <n v="58"/>
  </r>
  <r>
    <n v="3383"/>
    <x v="151"/>
    <x v="2"/>
    <d v="2024-07-27T00:00:00"/>
    <x v="1"/>
    <n v="10"/>
    <x v="0"/>
    <s v="No"/>
    <x v="1"/>
    <x v="0"/>
    <n v="20"/>
    <n v="10"/>
    <n v="20"/>
  </r>
  <r>
    <n v="3384"/>
    <x v="152"/>
    <x v="1"/>
    <d v="2024-07-28T00:00:00"/>
    <x v="0"/>
    <n v="5"/>
    <x v="1"/>
    <s v="No"/>
    <x v="1"/>
    <x v="1"/>
    <n v="0"/>
    <n v="0"/>
    <n v="5"/>
  </r>
  <r>
    <n v="3385"/>
    <x v="153"/>
    <x v="0"/>
    <d v="2024-07-29T00:00:00"/>
    <x v="1"/>
    <n v="15"/>
    <x v="0"/>
    <s v="Yes"/>
    <x v="0"/>
    <x v="0"/>
    <n v="20"/>
    <n v="20"/>
    <n v="45"/>
  </r>
  <r>
    <n v="3386"/>
    <x v="154"/>
    <x v="2"/>
    <d v="2024-07-30T00:00:00"/>
    <x v="0"/>
    <n v="10"/>
    <x v="2"/>
    <s v="No"/>
    <x v="1"/>
    <x v="0"/>
    <n v="20"/>
    <n v="15"/>
    <n v="15"/>
  </r>
  <r>
    <n v="3387"/>
    <x v="155"/>
    <x v="1"/>
    <d v="2024-07-31T00:00:00"/>
    <x v="1"/>
    <n v="5"/>
    <x v="0"/>
    <s v="No"/>
    <x v="1"/>
    <x v="1"/>
    <n v="0"/>
    <n v="1"/>
    <n v="4"/>
  </r>
  <r>
    <n v="3388"/>
    <x v="156"/>
    <x v="0"/>
    <d v="2024-08-01T00:00:00"/>
    <x v="0"/>
    <n v="15"/>
    <x v="1"/>
    <s v="Yes"/>
    <x v="0"/>
    <x v="0"/>
    <n v="20"/>
    <n v="3"/>
    <n v="62"/>
  </r>
  <r>
    <n v="3389"/>
    <x v="157"/>
    <x v="2"/>
    <d v="2024-08-02T00:00:00"/>
    <x v="1"/>
    <n v="10"/>
    <x v="0"/>
    <s v="No"/>
    <x v="1"/>
    <x v="0"/>
    <n v="20"/>
    <n v="10"/>
    <n v="20"/>
  </r>
  <r>
    <n v="3390"/>
    <x v="158"/>
    <x v="1"/>
    <d v="2024-08-03T00:00:00"/>
    <x v="0"/>
    <n v="5"/>
    <x v="2"/>
    <s v="No"/>
    <x v="1"/>
    <x v="1"/>
    <n v="0"/>
    <n v="0"/>
    <n v="5"/>
  </r>
  <r>
    <n v="3391"/>
    <x v="58"/>
    <x v="0"/>
    <d v="2024-08-04T00:00:00"/>
    <x v="1"/>
    <n v="15"/>
    <x v="0"/>
    <s v="Yes"/>
    <x v="0"/>
    <x v="0"/>
    <n v="20"/>
    <n v="15"/>
    <n v="50"/>
  </r>
  <r>
    <n v="3392"/>
    <x v="159"/>
    <x v="2"/>
    <d v="2024-08-05T00:00:00"/>
    <x v="0"/>
    <n v="10"/>
    <x v="1"/>
    <s v="No"/>
    <x v="1"/>
    <x v="0"/>
    <n v="20"/>
    <n v="15"/>
    <n v="15"/>
  </r>
  <r>
    <n v="3393"/>
    <x v="160"/>
    <x v="1"/>
    <d v="2024-08-06T00:00:00"/>
    <x v="1"/>
    <n v="5"/>
    <x v="0"/>
    <s v="No"/>
    <x v="1"/>
    <x v="1"/>
    <n v="0"/>
    <n v="1"/>
    <n v="4"/>
  </r>
  <r>
    <n v="3394"/>
    <x v="161"/>
    <x v="0"/>
    <d v="2024-08-07T00:00:00"/>
    <x v="0"/>
    <n v="15"/>
    <x v="2"/>
    <s v="Yes"/>
    <x v="0"/>
    <x v="0"/>
    <n v="20"/>
    <n v="7"/>
    <n v="58"/>
  </r>
  <r>
    <n v="3395"/>
    <x v="162"/>
    <x v="2"/>
    <d v="2024-08-08T00:00:00"/>
    <x v="1"/>
    <n v="10"/>
    <x v="0"/>
    <s v="No"/>
    <x v="1"/>
    <x v="0"/>
    <n v="20"/>
    <n v="10"/>
    <n v="20"/>
  </r>
  <r>
    <n v="3396"/>
    <x v="163"/>
    <x v="1"/>
    <d v="2024-08-09T00:00:00"/>
    <x v="0"/>
    <n v="5"/>
    <x v="1"/>
    <s v="No"/>
    <x v="1"/>
    <x v="1"/>
    <n v="0"/>
    <n v="0"/>
    <n v="5"/>
  </r>
  <r>
    <n v="3397"/>
    <x v="90"/>
    <x v="0"/>
    <d v="2024-08-10T00:00:00"/>
    <x v="1"/>
    <n v="15"/>
    <x v="0"/>
    <s v="Yes"/>
    <x v="0"/>
    <x v="0"/>
    <n v="20"/>
    <n v="20"/>
    <n v="45"/>
  </r>
  <r>
    <n v="3398"/>
    <x v="164"/>
    <x v="2"/>
    <d v="2024-08-11T00:00:00"/>
    <x v="0"/>
    <n v="10"/>
    <x v="2"/>
    <s v="No"/>
    <x v="1"/>
    <x v="0"/>
    <n v="20"/>
    <n v="15"/>
    <n v="15"/>
  </r>
  <r>
    <n v="3399"/>
    <x v="165"/>
    <x v="1"/>
    <d v="2024-08-12T00:00:00"/>
    <x v="1"/>
    <n v="5"/>
    <x v="0"/>
    <s v="No"/>
    <x v="1"/>
    <x v="1"/>
    <n v="0"/>
    <n v="1"/>
    <n v="4"/>
  </r>
  <r>
    <n v="3400"/>
    <x v="166"/>
    <x v="0"/>
    <d v="2024-08-13T00:00:00"/>
    <x v="0"/>
    <n v="15"/>
    <x v="1"/>
    <s v="Yes"/>
    <x v="0"/>
    <x v="0"/>
    <n v="20"/>
    <n v="5"/>
    <n v="60"/>
  </r>
  <r>
    <n v="3401"/>
    <x v="167"/>
    <x v="2"/>
    <d v="2024-08-14T00:00:00"/>
    <x v="1"/>
    <n v="10"/>
    <x v="0"/>
    <s v="No"/>
    <x v="1"/>
    <x v="0"/>
    <n v="20"/>
    <n v="10"/>
    <n v="20"/>
  </r>
  <r>
    <n v="3402"/>
    <x v="168"/>
    <x v="1"/>
    <d v="2024-08-15T00:00:00"/>
    <x v="0"/>
    <n v="5"/>
    <x v="2"/>
    <s v="No"/>
    <x v="1"/>
    <x v="1"/>
    <n v="0"/>
    <n v="0"/>
    <n v="5"/>
  </r>
  <r>
    <n v="3403"/>
    <x v="169"/>
    <x v="0"/>
    <d v="2024-08-16T00:00:00"/>
    <x v="1"/>
    <n v="15"/>
    <x v="0"/>
    <s v="Yes"/>
    <x v="0"/>
    <x v="0"/>
    <n v="20"/>
    <n v="3"/>
    <n v="62"/>
  </r>
  <r>
    <n v="3404"/>
    <x v="170"/>
    <x v="2"/>
    <d v="2024-08-17T00:00:00"/>
    <x v="0"/>
    <n v="10"/>
    <x v="1"/>
    <s v="No"/>
    <x v="1"/>
    <x v="0"/>
    <n v="20"/>
    <n v="15"/>
    <n v="15"/>
  </r>
  <r>
    <n v="3405"/>
    <x v="171"/>
    <x v="1"/>
    <d v="2024-08-18T00:00:00"/>
    <x v="1"/>
    <n v="5"/>
    <x v="0"/>
    <s v="No"/>
    <x v="1"/>
    <x v="1"/>
    <n v="0"/>
    <n v="1"/>
    <n v="4"/>
  </r>
  <r>
    <n v="3406"/>
    <x v="172"/>
    <x v="1"/>
    <d v="2024-08-19T00:00:00"/>
    <x v="0"/>
    <n v="5"/>
    <x v="0"/>
    <s v="No"/>
    <x v="1"/>
    <x v="1"/>
    <n v="0"/>
    <n v="0"/>
    <n v="5"/>
  </r>
  <r>
    <n v="3407"/>
    <x v="173"/>
    <x v="0"/>
    <d v="2024-08-20T00:00:00"/>
    <x v="1"/>
    <n v="15"/>
    <x v="2"/>
    <s v="Yes"/>
    <x v="0"/>
    <x v="0"/>
    <n v="20"/>
    <n v="7"/>
    <n v="58"/>
  </r>
  <r>
    <n v="3408"/>
    <x v="174"/>
    <x v="2"/>
    <d v="2024-08-21T00:00:00"/>
    <x v="0"/>
    <n v="10"/>
    <x v="1"/>
    <s v="No"/>
    <x v="1"/>
    <x v="0"/>
    <n v="20"/>
    <n v="10"/>
    <n v="20"/>
  </r>
  <r>
    <n v="3409"/>
    <x v="175"/>
    <x v="1"/>
    <d v="2024-08-22T00:00:00"/>
    <x v="1"/>
    <n v="5"/>
    <x v="2"/>
    <s v="No"/>
    <x v="1"/>
    <x v="1"/>
    <n v="0"/>
    <n v="1"/>
    <n v="4"/>
  </r>
  <r>
    <n v="3410"/>
    <x v="176"/>
    <x v="0"/>
    <d v="2024-08-23T00:00:00"/>
    <x v="0"/>
    <n v="15"/>
    <x v="0"/>
    <s v="Yes"/>
    <x v="0"/>
    <x v="0"/>
    <n v="20"/>
    <n v="15"/>
    <n v="50"/>
  </r>
  <r>
    <n v="3411"/>
    <x v="177"/>
    <x v="2"/>
    <d v="2024-08-24T00:00:00"/>
    <x v="1"/>
    <n v="10"/>
    <x v="0"/>
    <s v="No"/>
    <x v="1"/>
    <x v="0"/>
    <n v="20"/>
    <n v="5"/>
    <n v="25"/>
  </r>
  <r>
    <n v="3412"/>
    <x v="178"/>
    <x v="1"/>
    <d v="2024-08-25T00:00:00"/>
    <x v="0"/>
    <n v="5"/>
    <x v="1"/>
    <s v="No"/>
    <x v="1"/>
    <x v="1"/>
    <n v="0"/>
    <n v="0"/>
    <n v="5"/>
  </r>
  <r>
    <n v="3413"/>
    <x v="179"/>
    <x v="0"/>
    <d v="2024-08-26T00:00:00"/>
    <x v="1"/>
    <n v="15"/>
    <x v="2"/>
    <s v="Yes"/>
    <x v="0"/>
    <x v="0"/>
    <n v="20"/>
    <n v="20"/>
    <n v="45"/>
  </r>
  <r>
    <n v="3414"/>
    <x v="180"/>
    <x v="2"/>
    <d v="2024-08-27T00:00:00"/>
    <x v="0"/>
    <n v="10"/>
    <x v="2"/>
    <s v="No"/>
    <x v="1"/>
    <x v="0"/>
    <n v="20"/>
    <n v="12"/>
    <n v="18"/>
  </r>
  <r>
    <n v="3415"/>
    <x v="181"/>
    <x v="1"/>
    <d v="2024-08-28T00:00:00"/>
    <x v="1"/>
    <n v="5"/>
    <x v="0"/>
    <s v="No"/>
    <x v="1"/>
    <x v="1"/>
    <n v="0"/>
    <n v="2"/>
    <n v="3"/>
  </r>
  <r>
    <n v="3416"/>
    <x v="182"/>
    <x v="0"/>
    <d v="2024-08-29T00:00:00"/>
    <x v="0"/>
    <n v="15"/>
    <x v="1"/>
    <s v="Yes"/>
    <x v="0"/>
    <x v="0"/>
    <n v="20"/>
    <n v="5"/>
    <n v="60"/>
  </r>
  <r>
    <n v="3417"/>
    <x v="183"/>
    <x v="2"/>
    <d v="2024-08-30T00:00:00"/>
    <x v="1"/>
    <n v="10"/>
    <x v="0"/>
    <s v="No"/>
    <x v="1"/>
    <x v="0"/>
    <n v="20"/>
    <n v="10"/>
    <n v="20"/>
  </r>
  <r>
    <n v="3418"/>
    <x v="184"/>
    <x v="1"/>
    <d v="2024-08-31T00:00:00"/>
    <x v="0"/>
    <n v="5"/>
    <x v="2"/>
    <s v="No"/>
    <x v="1"/>
    <x v="1"/>
    <n v="0"/>
    <n v="0"/>
    <n v="5"/>
  </r>
  <r>
    <n v="3419"/>
    <x v="185"/>
    <x v="0"/>
    <d v="2024-09-01T00:00:00"/>
    <x v="1"/>
    <n v="15"/>
    <x v="0"/>
    <s v="Yes"/>
    <x v="0"/>
    <x v="0"/>
    <n v="20"/>
    <n v="3"/>
    <n v="62"/>
  </r>
  <r>
    <n v="3420"/>
    <x v="186"/>
    <x v="2"/>
    <d v="2024-09-02T00:00:00"/>
    <x v="0"/>
    <n v="10"/>
    <x v="1"/>
    <s v="No"/>
    <x v="1"/>
    <x v="0"/>
    <n v="20"/>
    <n v="15"/>
    <n v="15"/>
  </r>
  <r>
    <n v="3421"/>
    <x v="15"/>
    <x v="1"/>
    <d v="2024-09-03T00:00:00"/>
    <x v="1"/>
    <n v="5"/>
    <x v="0"/>
    <s v="No"/>
    <x v="1"/>
    <x v="1"/>
    <n v="0"/>
    <n v="1"/>
    <n v="4"/>
  </r>
  <r>
    <n v="3422"/>
    <x v="187"/>
    <x v="0"/>
    <d v="2024-09-04T00:00:00"/>
    <x v="0"/>
    <n v="15"/>
    <x v="2"/>
    <s v="Yes"/>
    <x v="0"/>
    <x v="0"/>
    <n v="20"/>
    <n v="7"/>
    <n v="58"/>
  </r>
  <r>
    <n v="3423"/>
    <x v="188"/>
    <x v="2"/>
    <d v="2024-09-05T00:00:00"/>
    <x v="1"/>
    <n v="10"/>
    <x v="0"/>
    <s v="No"/>
    <x v="1"/>
    <x v="0"/>
    <n v="20"/>
    <n v="10"/>
    <n v="20"/>
  </r>
  <r>
    <n v="3424"/>
    <x v="14"/>
    <x v="1"/>
    <d v="2024-09-06T00:00:00"/>
    <x v="0"/>
    <n v="5"/>
    <x v="1"/>
    <s v="No"/>
    <x v="1"/>
    <x v="1"/>
    <n v="0"/>
    <n v="0"/>
    <n v="5"/>
  </r>
  <r>
    <n v="3425"/>
    <x v="189"/>
    <x v="0"/>
    <d v="2024-09-07T00:00:00"/>
    <x v="1"/>
    <n v="15"/>
    <x v="0"/>
    <s v="Yes"/>
    <x v="0"/>
    <x v="0"/>
    <n v="20"/>
    <n v="20"/>
    <n v="45"/>
  </r>
  <r>
    <n v="3426"/>
    <x v="167"/>
    <x v="2"/>
    <d v="2024-09-08T00:00:00"/>
    <x v="0"/>
    <n v="10"/>
    <x v="2"/>
    <s v="No"/>
    <x v="1"/>
    <x v="0"/>
    <n v="20"/>
    <n v="15"/>
    <n v="15"/>
  </r>
  <r>
    <n v="3427"/>
    <x v="190"/>
    <x v="1"/>
    <d v="2024-09-09T00:00:00"/>
    <x v="1"/>
    <n v="5"/>
    <x v="0"/>
    <s v="No"/>
    <x v="1"/>
    <x v="1"/>
    <n v="0"/>
    <n v="1"/>
    <n v="4"/>
  </r>
  <r>
    <n v="3428"/>
    <x v="191"/>
    <x v="0"/>
    <d v="2024-09-10T00:00:00"/>
    <x v="0"/>
    <n v="15"/>
    <x v="1"/>
    <s v="Yes"/>
    <x v="0"/>
    <x v="0"/>
    <n v="20"/>
    <n v="3"/>
    <n v="62"/>
  </r>
  <r>
    <n v="3429"/>
    <x v="192"/>
    <x v="2"/>
    <d v="2024-09-11T00:00:00"/>
    <x v="1"/>
    <n v="10"/>
    <x v="0"/>
    <s v="No"/>
    <x v="1"/>
    <x v="0"/>
    <n v="20"/>
    <n v="10"/>
    <n v="20"/>
  </r>
  <r>
    <n v="3430"/>
    <x v="193"/>
    <x v="1"/>
    <d v="2024-09-12T00:00:00"/>
    <x v="0"/>
    <n v="5"/>
    <x v="2"/>
    <s v="No"/>
    <x v="1"/>
    <x v="1"/>
    <n v="0"/>
    <n v="0"/>
    <n v="5"/>
  </r>
  <r>
    <n v="3431"/>
    <x v="194"/>
    <x v="0"/>
    <d v="2024-09-13T00:00:00"/>
    <x v="1"/>
    <n v="15"/>
    <x v="0"/>
    <s v="Yes"/>
    <x v="0"/>
    <x v="0"/>
    <n v="20"/>
    <n v="15"/>
    <n v="50"/>
  </r>
  <r>
    <n v="3432"/>
    <x v="195"/>
    <x v="2"/>
    <d v="2024-09-14T00:00:00"/>
    <x v="0"/>
    <n v="10"/>
    <x v="1"/>
    <s v="No"/>
    <x v="1"/>
    <x v="0"/>
    <n v="20"/>
    <n v="15"/>
    <n v="15"/>
  </r>
  <r>
    <n v="3433"/>
    <x v="196"/>
    <x v="1"/>
    <d v="2024-09-15T00:00:00"/>
    <x v="1"/>
    <n v="5"/>
    <x v="0"/>
    <s v="No"/>
    <x v="1"/>
    <x v="1"/>
    <n v="0"/>
    <n v="1"/>
    <n v="4"/>
  </r>
  <r>
    <n v="3434"/>
    <x v="197"/>
    <x v="0"/>
    <d v="2024-09-16T00:00:00"/>
    <x v="0"/>
    <n v="15"/>
    <x v="2"/>
    <s v="Yes"/>
    <x v="0"/>
    <x v="0"/>
    <n v="20"/>
    <n v="7"/>
    <n v="58"/>
  </r>
  <r>
    <n v="3435"/>
    <x v="198"/>
    <x v="2"/>
    <d v="2024-09-17T00:00:00"/>
    <x v="1"/>
    <n v="10"/>
    <x v="0"/>
    <s v="No"/>
    <x v="1"/>
    <x v="0"/>
    <n v="20"/>
    <n v="10"/>
    <n v="20"/>
  </r>
  <r>
    <n v="3436"/>
    <x v="199"/>
    <x v="1"/>
    <d v="2024-09-18T00:00:00"/>
    <x v="0"/>
    <n v="5"/>
    <x v="0"/>
    <s v="No"/>
    <x v="1"/>
    <x v="1"/>
    <n v="0"/>
    <n v="0"/>
    <n v="5"/>
  </r>
  <r>
    <n v="3437"/>
    <x v="200"/>
    <x v="0"/>
    <d v="2024-09-19T00:00:00"/>
    <x v="1"/>
    <n v="15"/>
    <x v="2"/>
    <s v="Yes"/>
    <x v="0"/>
    <x v="0"/>
    <n v="20"/>
    <n v="7"/>
    <n v="58"/>
  </r>
  <r>
    <n v="3438"/>
    <x v="201"/>
    <x v="2"/>
    <d v="2024-09-20T00:00:00"/>
    <x v="0"/>
    <n v="10"/>
    <x v="1"/>
    <s v="No"/>
    <x v="1"/>
    <x v="0"/>
    <n v="20"/>
    <n v="10"/>
    <n v="20"/>
  </r>
  <r>
    <n v="3439"/>
    <x v="202"/>
    <x v="1"/>
    <d v="2024-09-21T00:00:00"/>
    <x v="1"/>
    <n v="5"/>
    <x v="2"/>
    <s v="No"/>
    <x v="1"/>
    <x v="1"/>
    <n v="0"/>
    <n v="1"/>
    <n v="4"/>
  </r>
  <r>
    <n v="3440"/>
    <x v="203"/>
    <x v="0"/>
    <d v="2024-09-22T00:00:00"/>
    <x v="0"/>
    <n v="15"/>
    <x v="0"/>
    <s v="Yes"/>
    <x v="0"/>
    <x v="0"/>
    <n v="20"/>
    <n v="15"/>
    <n v="50"/>
  </r>
  <r>
    <n v="3441"/>
    <x v="204"/>
    <x v="2"/>
    <d v="2024-09-23T00:00:00"/>
    <x v="1"/>
    <n v="10"/>
    <x v="0"/>
    <s v="No"/>
    <x v="1"/>
    <x v="0"/>
    <n v="20"/>
    <n v="5"/>
    <n v="25"/>
  </r>
  <r>
    <n v="3442"/>
    <x v="205"/>
    <x v="1"/>
    <d v="2024-09-24T00:00:00"/>
    <x v="0"/>
    <n v="5"/>
    <x v="1"/>
    <s v="No"/>
    <x v="1"/>
    <x v="1"/>
    <n v="0"/>
    <n v="0"/>
    <n v="5"/>
  </r>
  <r>
    <n v="3443"/>
    <x v="206"/>
    <x v="0"/>
    <d v="2024-09-25T00:00:00"/>
    <x v="1"/>
    <n v="15"/>
    <x v="2"/>
    <s v="Yes"/>
    <x v="0"/>
    <x v="0"/>
    <n v="20"/>
    <n v="20"/>
    <n v="45"/>
  </r>
  <r>
    <n v="3444"/>
    <x v="207"/>
    <x v="2"/>
    <d v="2024-09-26T00:00:00"/>
    <x v="0"/>
    <n v="10"/>
    <x v="2"/>
    <s v="No"/>
    <x v="1"/>
    <x v="0"/>
    <n v="20"/>
    <n v="12"/>
    <n v="18"/>
  </r>
  <r>
    <n v="3445"/>
    <x v="37"/>
    <x v="1"/>
    <d v="2024-09-27T00:00:00"/>
    <x v="1"/>
    <n v="5"/>
    <x v="0"/>
    <s v="No"/>
    <x v="1"/>
    <x v="1"/>
    <n v="0"/>
    <n v="2"/>
    <n v="3"/>
  </r>
  <r>
    <n v="3446"/>
    <x v="208"/>
    <x v="0"/>
    <d v="2024-09-28T00:00:00"/>
    <x v="0"/>
    <n v="15"/>
    <x v="1"/>
    <s v="Yes"/>
    <x v="0"/>
    <x v="0"/>
    <n v="20"/>
    <n v="5"/>
    <n v="60"/>
  </r>
  <r>
    <n v="3447"/>
    <x v="209"/>
    <x v="2"/>
    <d v="2024-09-29T00:00:00"/>
    <x v="1"/>
    <n v="10"/>
    <x v="0"/>
    <s v="No"/>
    <x v="1"/>
    <x v="0"/>
    <n v="20"/>
    <n v="10"/>
    <n v="20"/>
  </r>
  <r>
    <n v="3448"/>
    <x v="210"/>
    <x v="1"/>
    <d v="2024-09-30T00:00:00"/>
    <x v="0"/>
    <n v="5"/>
    <x v="2"/>
    <s v="No"/>
    <x v="1"/>
    <x v="1"/>
    <n v="0"/>
    <n v="0"/>
    <n v="5"/>
  </r>
  <r>
    <n v="3449"/>
    <x v="211"/>
    <x v="0"/>
    <d v="2024-10-01T00:00:00"/>
    <x v="1"/>
    <n v="15"/>
    <x v="0"/>
    <s v="Yes"/>
    <x v="0"/>
    <x v="0"/>
    <n v="20"/>
    <n v="3"/>
    <n v="62"/>
  </r>
  <r>
    <n v="3450"/>
    <x v="212"/>
    <x v="2"/>
    <d v="2024-10-02T00:00:00"/>
    <x v="0"/>
    <n v="10"/>
    <x v="1"/>
    <s v="No"/>
    <x v="1"/>
    <x v="0"/>
    <n v="20"/>
    <n v="15"/>
    <n v="15"/>
  </r>
  <r>
    <n v="3451"/>
    <x v="213"/>
    <x v="1"/>
    <d v="2024-10-03T00:00:00"/>
    <x v="1"/>
    <n v="5"/>
    <x v="0"/>
    <s v="No"/>
    <x v="1"/>
    <x v="1"/>
    <n v="0"/>
    <n v="1"/>
    <n v="4"/>
  </r>
  <r>
    <n v="3452"/>
    <x v="191"/>
    <x v="0"/>
    <d v="2024-10-04T00:00:00"/>
    <x v="0"/>
    <n v="15"/>
    <x v="2"/>
    <s v="Yes"/>
    <x v="0"/>
    <x v="0"/>
    <n v="20"/>
    <n v="7"/>
    <n v="58"/>
  </r>
  <r>
    <n v="3453"/>
    <x v="45"/>
    <x v="2"/>
    <d v="2024-10-05T00:00:00"/>
    <x v="1"/>
    <n v="10"/>
    <x v="0"/>
    <s v="No"/>
    <x v="1"/>
    <x v="0"/>
    <n v="20"/>
    <n v="10"/>
    <n v="20"/>
  </r>
  <r>
    <n v="3454"/>
    <x v="214"/>
    <x v="1"/>
    <d v="2024-10-06T00:00:00"/>
    <x v="0"/>
    <n v="5"/>
    <x v="1"/>
    <s v="No"/>
    <x v="1"/>
    <x v="1"/>
    <n v="0"/>
    <n v="0"/>
    <n v="5"/>
  </r>
  <r>
    <n v="3455"/>
    <x v="215"/>
    <x v="0"/>
    <d v="2024-10-07T00:00:00"/>
    <x v="1"/>
    <n v="15"/>
    <x v="0"/>
    <s v="Yes"/>
    <x v="0"/>
    <x v="0"/>
    <n v="20"/>
    <n v="20"/>
    <n v="45"/>
  </r>
  <r>
    <n v="3456"/>
    <x v="216"/>
    <x v="2"/>
    <d v="2024-10-08T00:00:00"/>
    <x v="0"/>
    <n v="10"/>
    <x v="2"/>
    <s v="No"/>
    <x v="1"/>
    <x v="0"/>
    <n v="20"/>
    <n v="15"/>
    <n v="15"/>
  </r>
  <r>
    <n v="3457"/>
    <x v="217"/>
    <x v="1"/>
    <d v="2024-10-09T00:00:00"/>
    <x v="1"/>
    <n v="5"/>
    <x v="0"/>
    <s v="No"/>
    <x v="1"/>
    <x v="1"/>
    <n v="0"/>
    <n v="1"/>
    <n v="4"/>
  </r>
  <r>
    <n v="3458"/>
    <x v="218"/>
    <x v="0"/>
    <d v="2024-10-10T00:00:00"/>
    <x v="0"/>
    <n v="15"/>
    <x v="1"/>
    <s v="Yes"/>
    <x v="0"/>
    <x v="0"/>
    <n v="20"/>
    <n v="3"/>
    <n v="62"/>
  </r>
  <r>
    <n v="3459"/>
    <x v="219"/>
    <x v="2"/>
    <d v="2024-10-11T00:00:00"/>
    <x v="1"/>
    <n v="10"/>
    <x v="0"/>
    <s v="No"/>
    <x v="1"/>
    <x v="0"/>
    <n v="20"/>
    <n v="10"/>
    <n v="20"/>
  </r>
  <r>
    <n v="3460"/>
    <x v="127"/>
    <x v="1"/>
    <d v="2024-10-12T00:00:00"/>
    <x v="0"/>
    <n v="5"/>
    <x v="2"/>
    <s v="No"/>
    <x v="1"/>
    <x v="1"/>
    <n v="0"/>
    <n v="0"/>
    <n v="5"/>
  </r>
  <r>
    <n v="3461"/>
    <x v="220"/>
    <x v="0"/>
    <d v="2024-10-13T00:00:00"/>
    <x v="1"/>
    <n v="15"/>
    <x v="0"/>
    <s v="Yes"/>
    <x v="0"/>
    <x v="0"/>
    <n v="20"/>
    <n v="15"/>
    <n v="50"/>
  </r>
  <r>
    <n v="3462"/>
    <x v="221"/>
    <x v="2"/>
    <d v="2024-10-14T00:00:00"/>
    <x v="0"/>
    <n v="10"/>
    <x v="1"/>
    <s v="No"/>
    <x v="1"/>
    <x v="0"/>
    <n v="20"/>
    <n v="15"/>
    <n v="15"/>
  </r>
  <r>
    <n v="3463"/>
    <x v="222"/>
    <x v="1"/>
    <d v="2024-10-15T00:00:00"/>
    <x v="1"/>
    <n v="5"/>
    <x v="0"/>
    <s v="No"/>
    <x v="1"/>
    <x v="1"/>
    <n v="0"/>
    <n v="1"/>
    <n v="4"/>
  </r>
  <r>
    <n v="3464"/>
    <x v="223"/>
    <x v="0"/>
    <d v="2024-10-16T00:00:00"/>
    <x v="0"/>
    <n v="15"/>
    <x v="2"/>
    <s v="Yes"/>
    <x v="0"/>
    <x v="0"/>
    <n v="20"/>
    <n v="7"/>
    <n v="58"/>
  </r>
  <r>
    <n v="3465"/>
    <x v="224"/>
    <x v="2"/>
    <d v="2024-10-17T00:00:00"/>
    <x v="1"/>
    <n v="10"/>
    <x v="0"/>
    <s v="No"/>
    <x v="1"/>
    <x v="0"/>
    <n v="20"/>
    <n v="10"/>
    <n v="20"/>
  </r>
  <r>
    <n v="3466"/>
    <x v="225"/>
    <x v="1"/>
    <d v="2024-10-18T00:00:00"/>
    <x v="0"/>
    <n v="5"/>
    <x v="1"/>
    <s v="No"/>
    <x v="1"/>
    <x v="1"/>
    <n v="0"/>
    <n v="0"/>
    <n v="5"/>
  </r>
  <r>
    <n v="3467"/>
    <x v="226"/>
    <x v="0"/>
    <d v="2024-10-19T00:00:00"/>
    <x v="1"/>
    <n v="15"/>
    <x v="0"/>
    <s v="Yes"/>
    <x v="0"/>
    <x v="0"/>
    <n v="20"/>
    <n v="15"/>
    <n v="50"/>
  </r>
  <r>
    <n v="3468"/>
    <x v="227"/>
    <x v="2"/>
    <d v="2024-10-20T00:00:00"/>
    <x v="0"/>
    <n v="10"/>
    <x v="2"/>
    <s v="No"/>
    <x v="1"/>
    <x v="0"/>
    <n v="20"/>
    <n v="12"/>
    <n v="18"/>
  </r>
  <r>
    <n v="3469"/>
    <x v="228"/>
    <x v="1"/>
    <d v="2024-10-21T00:00:00"/>
    <x v="1"/>
    <n v="5"/>
    <x v="0"/>
    <s v="No"/>
    <x v="1"/>
    <x v="1"/>
    <n v="0"/>
    <n v="2"/>
    <n v="3"/>
  </r>
  <r>
    <n v="3470"/>
    <x v="229"/>
    <x v="0"/>
    <d v="2024-10-22T00:00:00"/>
    <x v="0"/>
    <n v="15"/>
    <x v="1"/>
    <s v="Yes"/>
    <x v="0"/>
    <x v="0"/>
    <n v="20"/>
    <n v="5"/>
    <n v="60"/>
  </r>
  <r>
    <n v="3471"/>
    <x v="230"/>
    <x v="2"/>
    <d v="2024-10-23T00:00:00"/>
    <x v="1"/>
    <n v="10"/>
    <x v="0"/>
    <s v="No"/>
    <x v="1"/>
    <x v="0"/>
    <n v="20"/>
    <n v="10"/>
    <n v="20"/>
  </r>
  <r>
    <n v="3472"/>
    <x v="231"/>
    <x v="1"/>
    <d v="2024-10-24T00:00:00"/>
    <x v="0"/>
    <n v="5"/>
    <x v="2"/>
    <s v="No"/>
    <x v="1"/>
    <x v="1"/>
    <n v="0"/>
    <n v="0"/>
    <n v="5"/>
  </r>
  <r>
    <n v="3473"/>
    <x v="140"/>
    <x v="0"/>
    <d v="2024-10-25T00:00:00"/>
    <x v="1"/>
    <n v="15"/>
    <x v="0"/>
    <s v="Yes"/>
    <x v="0"/>
    <x v="0"/>
    <n v="20"/>
    <n v="3"/>
    <n v="62"/>
  </r>
  <r>
    <n v="3474"/>
    <x v="232"/>
    <x v="2"/>
    <d v="2024-10-26T00:00:00"/>
    <x v="0"/>
    <n v="10"/>
    <x v="1"/>
    <s v="No"/>
    <x v="1"/>
    <x v="0"/>
    <n v="20"/>
    <n v="15"/>
    <n v="15"/>
  </r>
  <r>
    <n v="3475"/>
    <x v="233"/>
    <x v="1"/>
    <d v="2024-10-27T00:00:00"/>
    <x v="1"/>
    <n v="5"/>
    <x v="0"/>
    <s v="No"/>
    <x v="1"/>
    <x v="1"/>
    <n v="0"/>
    <n v="1"/>
    <n v="4"/>
  </r>
  <r>
    <n v="3476"/>
    <x v="234"/>
    <x v="0"/>
    <d v="2024-10-28T00:00:00"/>
    <x v="0"/>
    <n v="15"/>
    <x v="2"/>
    <s v="Yes"/>
    <x v="0"/>
    <x v="0"/>
    <n v="20"/>
    <n v="7"/>
    <n v="58"/>
  </r>
  <r>
    <n v="3477"/>
    <x v="235"/>
    <x v="2"/>
    <d v="2024-10-29T00:00:00"/>
    <x v="1"/>
    <n v="10"/>
    <x v="0"/>
    <s v="No"/>
    <x v="1"/>
    <x v="0"/>
    <n v="20"/>
    <n v="10"/>
    <n v="20"/>
  </r>
  <r>
    <n v="3478"/>
    <x v="236"/>
    <x v="1"/>
    <d v="2024-10-30T00:00:00"/>
    <x v="0"/>
    <n v="5"/>
    <x v="1"/>
    <s v="No"/>
    <x v="1"/>
    <x v="1"/>
    <n v="0"/>
    <n v="0"/>
    <n v="5"/>
  </r>
  <r>
    <n v="3479"/>
    <x v="237"/>
    <x v="0"/>
    <d v="2024-10-31T00:00:00"/>
    <x v="1"/>
    <n v="15"/>
    <x v="0"/>
    <s v="Yes"/>
    <x v="0"/>
    <x v="0"/>
    <n v="20"/>
    <n v="20"/>
    <n v="45"/>
  </r>
  <r>
    <n v="3480"/>
    <x v="238"/>
    <x v="2"/>
    <d v="2024-11-01T00:00:00"/>
    <x v="0"/>
    <n v="10"/>
    <x v="2"/>
    <s v="No"/>
    <x v="1"/>
    <x v="0"/>
    <n v="20"/>
    <n v="15"/>
    <n v="15"/>
  </r>
  <r>
    <n v="3481"/>
    <x v="239"/>
    <x v="1"/>
    <d v="2024-11-02T00:00:00"/>
    <x v="1"/>
    <n v="5"/>
    <x v="0"/>
    <s v="No"/>
    <x v="1"/>
    <x v="1"/>
    <n v="0"/>
    <n v="1"/>
    <n v="4"/>
  </r>
  <r>
    <n v="3482"/>
    <x v="240"/>
    <x v="0"/>
    <d v="2024-11-03T00:00:00"/>
    <x v="0"/>
    <n v="15"/>
    <x v="1"/>
    <s v="Yes"/>
    <x v="0"/>
    <x v="0"/>
    <n v="20"/>
    <n v="3"/>
    <n v="62"/>
  </r>
  <r>
    <n v="3483"/>
    <x v="241"/>
    <x v="2"/>
    <d v="2024-11-04T00:00:00"/>
    <x v="1"/>
    <n v="10"/>
    <x v="0"/>
    <s v="No"/>
    <x v="1"/>
    <x v="0"/>
    <n v="20"/>
    <n v="10"/>
    <n v="20"/>
  </r>
  <r>
    <n v="3484"/>
    <x v="242"/>
    <x v="1"/>
    <d v="2024-11-05T00:00:00"/>
    <x v="0"/>
    <n v="5"/>
    <x v="2"/>
    <s v="No"/>
    <x v="1"/>
    <x v="1"/>
    <n v="0"/>
    <n v="0"/>
    <n v="5"/>
  </r>
  <r>
    <n v="3485"/>
    <x v="243"/>
    <x v="0"/>
    <d v="2024-11-06T00:00:00"/>
    <x v="1"/>
    <n v="15"/>
    <x v="0"/>
    <s v="Yes"/>
    <x v="0"/>
    <x v="0"/>
    <n v="20"/>
    <n v="15"/>
    <n v="50"/>
  </r>
  <r>
    <n v="3486"/>
    <x v="244"/>
    <x v="1"/>
    <d v="2024-11-07T00:00:00"/>
    <x v="0"/>
    <n v="5"/>
    <x v="0"/>
    <s v="No"/>
    <x v="1"/>
    <x v="1"/>
    <n v="0"/>
    <n v="0"/>
    <n v="5"/>
  </r>
  <r>
    <n v="3487"/>
    <x v="245"/>
    <x v="0"/>
    <d v="2024-11-08T00:00:00"/>
    <x v="1"/>
    <n v="15"/>
    <x v="2"/>
    <s v="Yes"/>
    <x v="0"/>
    <x v="0"/>
    <n v="20"/>
    <n v="7"/>
    <n v="58"/>
  </r>
  <r>
    <n v="3488"/>
    <x v="246"/>
    <x v="2"/>
    <d v="2024-11-09T00:00:00"/>
    <x v="0"/>
    <n v="10"/>
    <x v="1"/>
    <s v="No"/>
    <x v="1"/>
    <x v="0"/>
    <n v="20"/>
    <n v="10"/>
    <n v="20"/>
  </r>
  <r>
    <n v="3489"/>
    <x v="247"/>
    <x v="1"/>
    <d v="2024-11-10T00:00:00"/>
    <x v="1"/>
    <n v="5"/>
    <x v="2"/>
    <s v="No"/>
    <x v="1"/>
    <x v="1"/>
    <n v="0"/>
    <n v="1"/>
    <n v="4"/>
  </r>
  <r>
    <n v="3490"/>
    <x v="248"/>
    <x v="0"/>
    <d v="2024-11-11T00:00:00"/>
    <x v="0"/>
    <n v="15"/>
    <x v="0"/>
    <s v="Yes"/>
    <x v="0"/>
    <x v="0"/>
    <n v="20"/>
    <n v="15"/>
    <n v="50"/>
  </r>
  <r>
    <n v="3491"/>
    <x v="249"/>
    <x v="2"/>
    <d v="2024-11-12T00:00:00"/>
    <x v="1"/>
    <n v="10"/>
    <x v="0"/>
    <s v="No"/>
    <x v="1"/>
    <x v="0"/>
    <n v="20"/>
    <n v="5"/>
    <n v="25"/>
  </r>
  <r>
    <n v="3492"/>
    <x v="250"/>
    <x v="1"/>
    <d v="2024-11-13T00:00:00"/>
    <x v="0"/>
    <n v="5"/>
    <x v="1"/>
    <s v="No"/>
    <x v="1"/>
    <x v="1"/>
    <n v="0"/>
    <n v="0"/>
    <n v="5"/>
  </r>
  <r>
    <n v="3493"/>
    <x v="251"/>
    <x v="0"/>
    <d v="2024-11-14T00:00:00"/>
    <x v="1"/>
    <n v="15"/>
    <x v="2"/>
    <s v="Yes"/>
    <x v="0"/>
    <x v="0"/>
    <n v="20"/>
    <n v="20"/>
    <n v="45"/>
  </r>
  <r>
    <n v="3494"/>
    <x v="252"/>
    <x v="2"/>
    <d v="2024-11-15T00:00:00"/>
    <x v="0"/>
    <n v="10"/>
    <x v="2"/>
    <s v="No"/>
    <x v="1"/>
    <x v="0"/>
    <n v="20"/>
    <n v="12"/>
    <n v="18"/>
  </r>
  <r>
    <n v="3495"/>
    <x v="253"/>
    <x v="1"/>
    <d v="2024-11-16T00:00:00"/>
    <x v="1"/>
    <n v="5"/>
    <x v="0"/>
    <s v="No"/>
    <x v="1"/>
    <x v="1"/>
    <n v="0"/>
    <n v="2"/>
    <n v="3"/>
  </r>
  <r>
    <n v="3496"/>
    <x v="254"/>
    <x v="0"/>
    <d v="2024-11-17T00:00:00"/>
    <x v="0"/>
    <n v="15"/>
    <x v="1"/>
    <s v="Yes"/>
    <x v="0"/>
    <x v="0"/>
    <n v="20"/>
    <n v="5"/>
    <n v="60"/>
  </r>
  <r>
    <n v="3497"/>
    <x v="255"/>
    <x v="2"/>
    <d v="2024-11-18T00:00:00"/>
    <x v="1"/>
    <n v="10"/>
    <x v="0"/>
    <s v="No"/>
    <x v="1"/>
    <x v="0"/>
    <n v="20"/>
    <n v="10"/>
    <n v="20"/>
  </r>
  <r>
    <n v="3498"/>
    <x v="256"/>
    <x v="1"/>
    <d v="2024-11-19T00:00:00"/>
    <x v="0"/>
    <n v="5"/>
    <x v="2"/>
    <s v="No"/>
    <x v="1"/>
    <x v="1"/>
    <n v="0"/>
    <n v="0"/>
    <n v="5"/>
  </r>
  <r>
    <n v="3499"/>
    <x v="257"/>
    <x v="0"/>
    <d v="2024-11-20T00:00:00"/>
    <x v="1"/>
    <n v="15"/>
    <x v="0"/>
    <s v="Yes"/>
    <x v="0"/>
    <x v="0"/>
    <n v="20"/>
    <n v="3"/>
    <n v="62"/>
  </r>
  <r>
    <n v="3500"/>
    <x v="258"/>
    <x v="2"/>
    <d v="2024-11-21T00:00:00"/>
    <x v="0"/>
    <n v="10"/>
    <x v="1"/>
    <s v="No"/>
    <x v="1"/>
    <x v="0"/>
    <n v="20"/>
    <n v="15"/>
    <n v="15"/>
  </r>
  <r>
    <n v="3501"/>
    <x v="259"/>
    <x v="1"/>
    <d v="2024-11-22T00:00:00"/>
    <x v="1"/>
    <n v="5"/>
    <x v="0"/>
    <s v="No"/>
    <x v="1"/>
    <x v="1"/>
    <n v="0"/>
    <n v="1"/>
    <n v="4"/>
  </r>
  <r>
    <n v="3502"/>
    <x v="260"/>
    <x v="0"/>
    <d v="2024-11-23T00:00:00"/>
    <x v="0"/>
    <n v="15"/>
    <x v="2"/>
    <s v="Yes"/>
    <x v="0"/>
    <x v="0"/>
    <n v="20"/>
    <n v="7"/>
    <n v="58"/>
  </r>
  <r>
    <n v="3503"/>
    <x v="119"/>
    <x v="2"/>
    <d v="2024-11-24T00:00:00"/>
    <x v="1"/>
    <n v="10"/>
    <x v="0"/>
    <s v="No"/>
    <x v="1"/>
    <x v="0"/>
    <n v="20"/>
    <n v="10"/>
    <n v="20"/>
  </r>
  <r>
    <n v="3504"/>
    <x v="261"/>
    <x v="1"/>
    <d v="2024-11-25T00:00:00"/>
    <x v="0"/>
    <n v="5"/>
    <x v="1"/>
    <s v="No"/>
    <x v="1"/>
    <x v="1"/>
    <n v="0"/>
    <n v="0"/>
    <n v="5"/>
  </r>
  <r>
    <n v="3505"/>
    <x v="262"/>
    <x v="0"/>
    <d v="2024-11-26T00:00:00"/>
    <x v="1"/>
    <n v="15"/>
    <x v="0"/>
    <s v="Yes"/>
    <x v="0"/>
    <x v="0"/>
    <n v="20"/>
    <n v="20"/>
    <n v="45"/>
  </r>
  <r>
    <n v="3506"/>
    <x v="263"/>
    <x v="2"/>
    <d v="2024-11-27T00:00:00"/>
    <x v="0"/>
    <n v="10"/>
    <x v="2"/>
    <s v="No"/>
    <x v="1"/>
    <x v="0"/>
    <n v="20"/>
    <n v="15"/>
    <n v="15"/>
  </r>
  <r>
    <n v="3507"/>
    <x v="264"/>
    <x v="1"/>
    <d v="2024-11-28T00:00:00"/>
    <x v="1"/>
    <n v="5"/>
    <x v="0"/>
    <s v="No"/>
    <x v="1"/>
    <x v="1"/>
    <n v="0"/>
    <n v="1"/>
    <n v="4"/>
  </r>
  <r>
    <n v="3508"/>
    <x v="265"/>
    <x v="0"/>
    <d v="2024-11-29T00:00:00"/>
    <x v="0"/>
    <n v="15"/>
    <x v="1"/>
    <s v="Yes"/>
    <x v="0"/>
    <x v="0"/>
    <n v="20"/>
    <n v="3"/>
    <n v="62"/>
  </r>
  <r>
    <n v="3509"/>
    <x v="266"/>
    <x v="2"/>
    <d v="2024-11-30T00:00:00"/>
    <x v="1"/>
    <n v="10"/>
    <x v="0"/>
    <s v="No"/>
    <x v="1"/>
    <x v="0"/>
    <n v="20"/>
    <n v="10"/>
    <n v="20"/>
  </r>
  <r>
    <n v="3510"/>
    <x v="267"/>
    <x v="1"/>
    <d v="2024-12-01T00:00:00"/>
    <x v="0"/>
    <n v="5"/>
    <x v="2"/>
    <s v="No"/>
    <x v="1"/>
    <x v="1"/>
    <n v="0"/>
    <n v="0"/>
    <n v="5"/>
  </r>
  <r>
    <n v="3511"/>
    <x v="268"/>
    <x v="0"/>
    <d v="2024-12-02T00:00:00"/>
    <x v="1"/>
    <n v="15"/>
    <x v="0"/>
    <s v="Yes"/>
    <x v="0"/>
    <x v="0"/>
    <n v="20"/>
    <n v="15"/>
    <n v="50"/>
  </r>
  <r>
    <n v="3512"/>
    <x v="269"/>
    <x v="2"/>
    <d v="2024-12-03T00:00:00"/>
    <x v="0"/>
    <n v="10"/>
    <x v="1"/>
    <s v="No"/>
    <x v="1"/>
    <x v="0"/>
    <n v="20"/>
    <n v="15"/>
    <n v="15"/>
  </r>
  <r>
    <n v="3513"/>
    <x v="270"/>
    <x v="1"/>
    <d v="2024-12-04T00:00:00"/>
    <x v="1"/>
    <n v="5"/>
    <x v="0"/>
    <s v="No"/>
    <x v="1"/>
    <x v="1"/>
    <n v="0"/>
    <n v="1"/>
    <n v="4"/>
  </r>
  <r>
    <n v="3514"/>
    <x v="271"/>
    <x v="0"/>
    <d v="2024-12-05T00:00:00"/>
    <x v="0"/>
    <n v="15"/>
    <x v="2"/>
    <s v="Yes"/>
    <x v="0"/>
    <x v="0"/>
    <n v="20"/>
    <n v="7"/>
    <n v="58"/>
  </r>
  <r>
    <n v="3515"/>
    <x v="130"/>
    <x v="2"/>
    <d v="2024-12-06T00:00:00"/>
    <x v="1"/>
    <n v="10"/>
    <x v="0"/>
    <s v="No"/>
    <x v="1"/>
    <x v="0"/>
    <n v="20"/>
    <n v="10"/>
    <n v="20"/>
  </r>
  <r>
    <n v="3516"/>
    <x v="131"/>
    <x v="1"/>
    <d v="2024-12-07T00:00:00"/>
    <x v="0"/>
    <n v="5"/>
    <x v="1"/>
    <s v="No"/>
    <x v="1"/>
    <x v="1"/>
    <n v="0"/>
    <n v="0"/>
    <n v="5"/>
  </r>
  <r>
    <n v="3517"/>
    <x v="181"/>
    <x v="0"/>
    <d v="2024-12-08T00:00:00"/>
    <x v="1"/>
    <n v="15"/>
    <x v="0"/>
    <s v="Yes"/>
    <x v="0"/>
    <x v="0"/>
    <n v="20"/>
    <n v="20"/>
    <n v="45"/>
  </r>
  <r>
    <n v="3518"/>
    <x v="272"/>
    <x v="2"/>
    <d v="2024-12-09T00:00:00"/>
    <x v="0"/>
    <n v="10"/>
    <x v="2"/>
    <s v="No"/>
    <x v="1"/>
    <x v="0"/>
    <n v="20"/>
    <n v="12"/>
    <n v="18"/>
  </r>
  <r>
    <n v="3519"/>
    <x v="273"/>
    <x v="1"/>
    <d v="2024-12-10T00:00:00"/>
    <x v="1"/>
    <n v="5"/>
    <x v="0"/>
    <s v="No"/>
    <x v="1"/>
    <x v="1"/>
    <n v="0"/>
    <n v="2"/>
    <n v="3"/>
  </r>
  <r>
    <n v="3520"/>
    <x v="274"/>
    <x v="0"/>
    <d v="2024-12-11T00:00:00"/>
    <x v="0"/>
    <n v="15"/>
    <x v="1"/>
    <s v="Yes"/>
    <x v="0"/>
    <x v="0"/>
    <n v="20"/>
    <n v="5"/>
    <n v="60"/>
  </r>
  <r>
    <n v="3521"/>
    <x v="275"/>
    <x v="2"/>
    <d v="2024-12-12T00:00:00"/>
    <x v="1"/>
    <n v="10"/>
    <x v="0"/>
    <s v="No"/>
    <x v="1"/>
    <x v="0"/>
    <n v="20"/>
    <n v="10"/>
    <n v="20"/>
  </r>
  <r>
    <n v="3522"/>
    <x v="276"/>
    <x v="1"/>
    <d v="2024-12-13T00:00:00"/>
    <x v="0"/>
    <n v="5"/>
    <x v="2"/>
    <s v="No"/>
    <x v="1"/>
    <x v="1"/>
    <n v="0"/>
    <n v="0"/>
    <n v="5"/>
  </r>
  <r>
    <n v="3523"/>
    <x v="277"/>
    <x v="0"/>
    <d v="2024-12-14T00:00:00"/>
    <x v="1"/>
    <n v="15"/>
    <x v="0"/>
    <s v="Yes"/>
    <x v="0"/>
    <x v="0"/>
    <n v="20"/>
    <n v="3"/>
    <n v="62"/>
  </r>
  <r>
    <n v="3524"/>
    <x v="278"/>
    <x v="2"/>
    <d v="2024-12-15T00:00:00"/>
    <x v="0"/>
    <n v="10"/>
    <x v="1"/>
    <s v="No"/>
    <x v="1"/>
    <x v="0"/>
    <n v="20"/>
    <n v="15"/>
    <n v="15"/>
  </r>
  <r>
    <n v="3525"/>
    <x v="279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F64B2-602B-4C39-9711-96515018BBC9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0:C34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3E5CC-A699-4F4E-8707-E2FA5E5794F8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E3C5A-8B5C-4F2B-B73E-DB4385EBCF29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name="Name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48CB6FD-5E1A-4481-B39B-31C8D5E2917F}" sourceName="Subscription Type">
  <pivotTables>
    <pivotTable tabId="3" name="Tabela dinâmica1"/>
    <pivotTable tabId="3" name="tbl_easeasonpass_total"/>
    <pivotTable tabId="3" name="Tabela dinâmica3"/>
  </pivotTables>
  <data>
    <tabular pivotCacheId="151217768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3A020DA-7DF0-4064-AF50-9F9B8C39F65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C14" sqref="C1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14" sqref="C1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E34"/>
  <sheetViews>
    <sheetView showGridLines="0" topLeftCell="A26" workbookViewId="0">
      <selection activeCell="K5" sqref="K5"/>
    </sheetView>
  </sheetViews>
  <sheetFormatPr defaultRowHeight="15" x14ac:dyDescent="0.25"/>
  <cols>
    <col min="2" max="2" width="18.42578125" bestFit="1" customWidth="1"/>
    <col min="3" max="3" width="34.42578125" bestFit="1" customWidth="1"/>
    <col min="4" max="4" width="30.5703125" bestFit="1" customWidth="1"/>
    <col min="5" max="5" width="10.855468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16</v>
      </c>
      <c r="C8" t="s">
        <v>20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4">
        <v>2824</v>
      </c>
    </row>
    <row r="12" spans="2:3" x14ac:dyDescent="0.25">
      <c r="B12" s="13" t="s">
        <v>19</v>
      </c>
      <c r="C12" s="14">
        <v>747</v>
      </c>
    </row>
    <row r="13" spans="2:3" x14ac:dyDescent="0.25">
      <c r="B13" s="13" t="s">
        <v>314</v>
      </c>
      <c r="C13" s="14">
        <v>3571</v>
      </c>
    </row>
    <row r="17" spans="2:5" x14ac:dyDescent="0.25">
      <c r="B17" t="s">
        <v>317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313</v>
      </c>
      <c r="C21" t="s">
        <v>318</v>
      </c>
    </row>
    <row r="22" spans="2:5" x14ac:dyDescent="0.25">
      <c r="B22" s="13" t="s">
        <v>22</v>
      </c>
      <c r="C22" s="16">
        <v>0</v>
      </c>
    </row>
    <row r="23" spans="2:5" x14ac:dyDescent="0.25">
      <c r="B23" s="13" t="s">
        <v>26</v>
      </c>
      <c r="C23" s="16">
        <v>0</v>
      </c>
    </row>
    <row r="24" spans="2:5" x14ac:dyDescent="0.25">
      <c r="B24" s="13" t="s">
        <v>18</v>
      </c>
      <c r="C24" s="16">
        <v>1350</v>
      </c>
    </row>
    <row r="25" spans="2:5" x14ac:dyDescent="0.25">
      <c r="B25" s="13" t="s">
        <v>314</v>
      </c>
      <c r="C25" s="16">
        <v>1350</v>
      </c>
      <c r="E25" s="17">
        <f>GETPIVOTDATA("EA Play Season Pass
Price",$B$21)</f>
        <v>1350</v>
      </c>
    </row>
    <row r="28" spans="2:5" x14ac:dyDescent="0.25">
      <c r="B28" s="12" t="s">
        <v>16</v>
      </c>
      <c r="C28" t="s">
        <v>20</v>
      </c>
    </row>
    <row r="30" spans="2:5" x14ac:dyDescent="0.25">
      <c r="B30" s="12" t="s">
        <v>313</v>
      </c>
      <c r="C30" t="s">
        <v>319</v>
      </c>
    </row>
    <row r="31" spans="2:5" x14ac:dyDescent="0.25">
      <c r="B31" s="13" t="s">
        <v>22</v>
      </c>
      <c r="C31" s="16">
        <v>49</v>
      </c>
    </row>
    <row r="32" spans="2:5" x14ac:dyDescent="0.25">
      <c r="B32" s="13" t="s">
        <v>26</v>
      </c>
      <c r="C32" s="16">
        <v>45</v>
      </c>
    </row>
    <row r="33" spans="2:5" x14ac:dyDescent="0.25">
      <c r="B33" s="13" t="s">
        <v>18</v>
      </c>
      <c r="C33" s="16">
        <v>45</v>
      </c>
    </row>
    <row r="34" spans="2:5" x14ac:dyDescent="0.25">
      <c r="B34" s="13" t="s">
        <v>314</v>
      </c>
      <c r="C34" s="16">
        <v>139</v>
      </c>
      <c r="E34" s="17">
        <f>GETPIVOTDATA("Minecraft Season Pass",$B$30)</f>
        <v>139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4"/>
  <sheetViews>
    <sheetView showGridLines="0" showRowColHeaders="0" tabSelected="1" zoomScale="80" zoomScaleNormal="80" workbookViewId="0">
      <selection activeCell="W14" sqref="W14"/>
    </sheetView>
  </sheetViews>
  <sheetFormatPr defaultRowHeight="15" x14ac:dyDescent="0.25"/>
  <cols>
    <col min="1" max="1" width="27.5703125" style="5" customWidth="1"/>
    <col min="2" max="2" width="3.5703125" style="7" customWidth="1"/>
    <col min="3" max="11" width="9.140625" style="7"/>
    <col min="12" max="12" width="6.5703125" style="7" customWidth="1"/>
    <col min="13" max="20" width="9.140625" style="7"/>
    <col min="21" max="21" width="3.85546875" style="7" customWidth="1"/>
    <col min="22" max="16384" width="9.140625" style="7"/>
  </cols>
  <sheetData>
    <row r="1" spans="1:21" customFormat="1" x14ac:dyDescent="0.25">
      <c r="A1" s="5"/>
    </row>
    <row r="2" spans="1:21" customFormat="1" ht="28.5" customHeight="1" thickBot="1" x14ac:dyDescent="0.5">
      <c r="A2" s="5"/>
      <c r="C2" s="19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8"/>
      <c r="S2" s="18"/>
      <c r="T2" s="18"/>
      <c r="U2" s="18"/>
    </row>
    <row r="3" spans="1:21" customFormat="1" ht="12.75" customHeight="1" thickTop="1" x14ac:dyDescent="0.25">
      <c r="A3" s="5"/>
    </row>
    <row r="4" spans="1:21" x14ac:dyDescent="0.25">
      <c r="C4" s="20" t="s">
        <v>320</v>
      </c>
    </row>
  </sheetData>
  <sheetProtection selectLockedCells="1" pivotTable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VIRGINIO DA SILVA</cp:lastModifiedBy>
  <dcterms:created xsi:type="dcterms:W3CDTF">2024-12-19T13:13:10Z</dcterms:created>
  <dcterms:modified xsi:type="dcterms:W3CDTF">2026-10-18T01:58:57Z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